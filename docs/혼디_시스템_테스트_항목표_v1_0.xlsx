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3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방법론" sheetId="1" state="visible" r:id="rId3"/>
    <sheet name="99_진행현황_대시보드" sheetId="2" state="visible" r:id="rId4"/>
    <sheet name="01_기존자동화_인벤토리" sheetId="3" state="visible" r:id="rId5"/>
    <sheet name="02_라우팅_오케스트레이션" sheetId="4" state="visible" r:id="rId6"/>
    <sheet name="03_관제탑원칙_SP구성" sheetId="5" state="visible" r:id="rId7"/>
    <sheet name="04_인증_SSO_보안" sheetId="6" state="visible" r:id="rId8"/>
    <sheet name="05_PDV_GDC_지갑_결제" sheetId="7" state="visible" r:id="rId9"/>
    <sheet name="06_govtree_행정서비스" sheetId="8" state="visible" r:id="rId10"/>
    <sheet name="07_EXPERT_페르소나" sheetId="9" state="visible" r:id="rId11"/>
    <sheet name="08_biz_상거래_결제" sheetId="10" state="visible" r:id="rId12"/>
    <sheet name="09_위성저장소_동기화" sheetId="11" state="visible" r:id="rId13"/>
    <sheet name="10_UI_UX_회귀" sheetId="12" state="visible" r:id="rId14"/>
    <sheet name="11_회귀_인시던트_체크리스트" sheetId="13" state="visible" r:id="rId15"/>
  </sheets>
  <definedNames>
    <definedName function="false" hidden="true" localSheetId="2" name="_xlnm._FilterDatabase" vbProcedure="false">01_기존자동화_인벤토리!$A$1:$I$30</definedName>
    <definedName function="false" hidden="true" localSheetId="3" name="_xlnm._FilterDatabase" vbProcedure="false">02_라우팅_오케스트레이션!$A$1:$I$14</definedName>
    <definedName function="false" hidden="true" localSheetId="4" name="_xlnm._FilterDatabase" vbProcedure="false">03_관제탑원칙_SP구성!$A$1:$I$8</definedName>
    <definedName function="false" hidden="true" localSheetId="5" name="_xlnm._FilterDatabase" vbProcedure="false">04_인증_SSO_보안!$A$1:$I$10</definedName>
    <definedName function="false" hidden="true" localSheetId="6" name="_xlnm._FilterDatabase" vbProcedure="false">05_PDV_GDC_지갑_결제!$A$1:$I$11</definedName>
    <definedName function="false" hidden="true" localSheetId="7" name="_xlnm._FilterDatabase" vbProcedure="false">06_govtree_행정서비스!$A$1:$I$9</definedName>
    <definedName function="false" hidden="true" localSheetId="8" name="_xlnm._FilterDatabase" vbProcedure="false">07_EXPERT_페르소나!$A$1:$I$7</definedName>
    <definedName function="false" hidden="true" localSheetId="9" name="_xlnm._FilterDatabase" vbProcedure="false">08_biz_상거래_결제!$A$1:$I$9</definedName>
    <definedName function="false" hidden="true" localSheetId="10" name="_xlnm._FilterDatabase" vbProcedure="false">09_위성저장소_동기화!$A$1:$I$7</definedName>
    <definedName function="false" hidden="true" localSheetId="11" name="_xlnm._FilterDatabase" vbProcedure="false">10_UI_UX_회귀!$A$1:$I$7</definedName>
    <definedName function="false" hidden="true" localSheetId="12" name="_xlnm._FilterDatabase" vbProcedure="false">11_회귀_인시던트_체크리스트!$A$1:$I$15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<sst xmlns="http://schemas.openxmlformats.org/spreadsheetml/2006/main" count="1027" uniqueCount="632">
  <si>
    <r>
      <rPr>
        <b val="true"/>
        <sz val="16"/>
        <color rgb="FF1F2937"/>
        <rFont val="Noto Sans CJK SC"/>
        <family val="2"/>
      </rPr>
      <t xml:space="preserve">혼디</t>
    </r>
    <r>
      <rPr>
        <b val="true"/>
        <sz val="16"/>
        <color rgb="FF1F2937"/>
        <rFont val="Arial"/>
        <family val="0"/>
        <charset val="1"/>
      </rPr>
      <t xml:space="preserve">(Hondi) </t>
    </r>
    <r>
      <rPr>
        <b val="true"/>
        <sz val="16"/>
        <color rgb="FF1F2937"/>
        <rFont val="Noto Sans CJK SC"/>
        <family val="2"/>
      </rPr>
      <t xml:space="preserve">플랫폼 — 체계적 테스트 방법론</t>
    </r>
  </si>
  <si>
    <r>
      <rPr>
        <i val="true"/>
        <sz val="10"/>
        <color rgb="FF6B7280"/>
        <rFont val="Arial"/>
        <family val="0"/>
        <charset val="1"/>
      </rPr>
      <t xml:space="preserve">gopang </t>
    </r>
    <r>
      <rPr>
        <i val="true"/>
        <sz val="10"/>
        <color rgb="FF6B7280"/>
        <rFont val="Noto Sans CJK SC"/>
        <family val="2"/>
      </rPr>
      <t xml:space="preserve">허브 저장소 실사 기반 </t>
    </r>
    <r>
      <rPr>
        <i val="true"/>
        <sz val="10"/>
        <color rgb="FF6B7280"/>
        <rFont val="Arial"/>
        <family val="0"/>
        <charset val="1"/>
      </rPr>
      <t xml:space="preserve">· </t>
    </r>
    <r>
      <rPr>
        <i val="true"/>
        <sz val="10"/>
        <color rgb="FF6B7280"/>
        <rFont val="Noto Sans CJK SC"/>
        <family val="2"/>
      </rPr>
      <t xml:space="preserve">작성일 </t>
    </r>
    <r>
      <rPr>
        <i val="true"/>
        <sz val="10"/>
        <color rgb="FF6B7280"/>
        <rFont val="Arial"/>
        <family val="0"/>
        <charset val="1"/>
      </rPr>
      <t xml:space="preserve">2026-08-11</t>
    </r>
  </si>
  <si>
    <r>
      <rPr>
        <b val="true"/>
        <sz val="11"/>
        <rFont val="Noto Sans CJK SC"/>
        <family val="2"/>
      </rPr>
      <t xml:space="preserve">원칙 </t>
    </r>
    <r>
      <rPr>
        <b val="true"/>
        <sz val="11"/>
        <rFont val="Arial"/>
        <family val="0"/>
        <charset val="1"/>
      </rPr>
      <t xml:space="preserve">1 — </t>
    </r>
    <r>
      <rPr>
        <b val="true"/>
        <sz val="11"/>
        <rFont val="Noto Sans CJK SC"/>
        <family val="2"/>
      </rPr>
      <t xml:space="preserve">재발명 금지</t>
    </r>
  </si>
  <si>
    <r>
      <rPr>
        <sz val="10"/>
        <rFont val="Noto Sans CJK SC"/>
        <family val="2"/>
      </rPr>
      <t xml:space="preserve">저장소에는 이미 </t>
    </r>
    <r>
      <rPr>
        <sz val="10"/>
        <rFont val="Arial"/>
        <family val="0"/>
        <charset val="1"/>
      </rPr>
      <t xml:space="preserve">27</t>
    </r>
    <r>
      <rPr>
        <sz val="10"/>
        <rFont val="Noto Sans CJK SC"/>
        <family val="2"/>
      </rPr>
      <t xml:space="preserve">개 </t>
    </r>
    <r>
      <rPr>
        <sz val="10"/>
        <rFont val="Arial"/>
        <family val="0"/>
        <charset val="1"/>
      </rPr>
      <t xml:space="preserve">CI </t>
    </r>
    <r>
      <rPr>
        <sz val="10"/>
        <rFont val="Noto Sans CJK SC"/>
        <family val="2"/>
      </rPr>
      <t xml:space="preserve">워크플로와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개 라이브 스모크테스트 하네스가 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 표는 그것들을 대체하지 않고</t>
    </r>
    <r>
      <rPr>
        <sz val="10"/>
        <rFont val="Arial"/>
        <family val="0"/>
        <charset val="1"/>
      </rPr>
      <t xml:space="preserve">, (a) </t>
    </r>
    <r>
      <rPr>
        <sz val="10"/>
        <rFont val="Noto Sans CJK SC"/>
        <family val="2"/>
      </rPr>
      <t xml:space="preserve">기존 자동화를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실행 목록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으로 인벤토리화하고 </t>
    </r>
    <r>
      <rPr>
        <sz val="10"/>
        <rFont val="Arial"/>
        <family val="0"/>
        <charset val="1"/>
      </rPr>
      <t xml:space="preserve">(b) </t>
    </r>
    <r>
      <rPr>
        <sz val="10"/>
        <rFont val="Noto Sans CJK SC"/>
        <family val="2"/>
      </rPr>
      <t xml:space="preserve">자동화가 없는 사각지대만 신규 설계한다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시트 </t>
    </r>
    <r>
      <rPr>
        <sz val="10"/>
        <rFont val="Arial"/>
        <family val="0"/>
        <charset val="1"/>
      </rPr>
      <t xml:space="preserve">01</t>
    </r>
    <r>
      <rPr>
        <sz val="10"/>
        <rFont val="Noto Sans CJK SC"/>
        <family val="2"/>
      </rPr>
      <t xml:space="preserve">이 인벤토리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나머지가 신규 영역이다</t>
    </r>
    <r>
      <rPr>
        <sz val="10"/>
        <rFont val="Arial"/>
        <family val="0"/>
        <charset val="1"/>
      </rPr>
      <t xml:space="preserve">.</t>
    </r>
  </si>
  <si>
    <r>
      <rPr>
        <b val="true"/>
        <sz val="11"/>
        <rFont val="Noto Sans CJK SC"/>
        <family val="2"/>
      </rPr>
      <t xml:space="preserve">원칙 </t>
    </r>
    <r>
      <rPr>
        <b val="true"/>
        <sz val="11"/>
        <rFont val="Arial"/>
        <family val="0"/>
        <charset val="1"/>
      </rPr>
      <t xml:space="preserve">2 — </t>
    </r>
    <r>
      <rPr>
        <b val="true"/>
        <sz val="11"/>
        <rFont val="Noto Sans CJK SC"/>
        <family val="2"/>
      </rPr>
      <t xml:space="preserve">사고 재현 우선</t>
    </r>
  </si>
  <si>
    <r>
      <rPr>
        <sz val="10"/>
        <rFont val="Arial"/>
        <family val="0"/>
        <charset val="1"/>
      </rPr>
      <t xml:space="preserve">docs/</t>
    </r>
    <r>
      <rPr>
        <sz val="10"/>
        <rFont val="Noto Sans CJK SC"/>
        <family val="2"/>
      </rPr>
      <t xml:space="preserve">의 사고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인시던트 문서</t>
    </r>
    <r>
      <rPr>
        <sz val="10"/>
        <rFont val="Arial"/>
        <family val="0"/>
        <charset val="1"/>
      </rPr>
      <t xml:space="preserve">(GDC_GIT_EXPOSURE_INCIDENT, DEVICE_LINK_FULL_CHAIN_INCIDENT </t>
    </r>
    <r>
      <rPr>
        <sz val="10"/>
        <rFont val="Noto Sans CJK SC"/>
        <family val="2"/>
      </rPr>
      <t xml:space="preserve">등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와 이번 세션에서 직접 고친 </t>
    </r>
    <r>
      <rPr>
        <sz val="10"/>
        <rFont val="Arial"/>
        <family val="0"/>
        <charset val="1"/>
      </rPr>
      <t xml:space="preserve">GWP orphan-tab </t>
    </r>
    <r>
      <rPr>
        <sz val="10"/>
        <rFont val="Noto Sans CJK SC"/>
        <family val="2"/>
      </rPr>
      <t xml:space="preserve">버그는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한 번 났던 사고가 재발했는지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를 확인하는 회귀 테스트로 우선 전환한다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시트 </t>
    </r>
    <r>
      <rPr>
        <sz val="10"/>
        <rFont val="Arial"/>
        <family val="0"/>
        <charset val="1"/>
      </rPr>
      <t xml:space="preserve">11). </t>
    </r>
    <r>
      <rPr>
        <sz val="10"/>
        <rFont val="Noto Sans CJK SC"/>
        <family val="2"/>
      </rPr>
      <t xml:space="preserve">이미 비용을 들여 원인을 규명해 둔 지점이라 재현 시나리오 설계 비용이 가장 낮고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재발 시 파급력은 가장 크다</t>
    </r>
    <r>
      <rPr>
        <sz val="10"/>
        <rFont val="Arial"/>
        <family val="0"/>
        <charset val="1"/>
      </rPr>
      <t xml:space="preserve">.</t>
    </r>
  </si>
  <si>
    <r>
      <rPr>
        <b val="true"/>
        <sz val="11"/>
        <rFont val="Noto Sans CJK SC"/>
        <family val="2"/>
      </rPr>
      <t xml:space="preserve">원칙 </t>
    </r>
    <r>
      <rPr>
        <b val="true"/>
        <sz val="11"/>
        <rFont val="Arial"/>
        <family val="0"/>
        <charset val="1"/>
      </rPr>
      <t xml:space="preserve">3 — </t>
    </r>
    <r>
      <rPr>
        <b val="true"/>
        <sz val="11"/>
        <rFont val="Noto Sans CJK SC"/>
        <family val="2"/>
      </rPr>
      <t xml:space="preserve">계층별 분리</t>
    </r>
  </si>
  <si>
    <r>
      <rPr>
        <sz val="10"/>
        <rFont val="Noto Sans CJK SC"/>
        <family val="2"/>
      </rPr>
      <t xml:space="preserve">혼디는 </t>
    </r>
    <r>
      <rPr>
        <sz val="10"/>
        <rFont val="Arial"/>
        <family val="0"/>
        <charset val="1"/>
      </rPr>
      <t xml:space="preserve">AC(</t>
    </r>
    <r>
      <rPr>
        <sz val="10"/>
        <rFont val="Noto Sans CJK SC"/>
        <family val="2"/>
      </rPr>
      <t xml:space="preserve">그림자 라우터</t>
    </r>
    <r>
      <rPr>
        <sz val="10"/>
        <rFont val="Arial"/>
        <family val="0"/>
        <charset val="1"/>
      </rPr>
      <t xml:space="preserve">) → GWP/EXPERT/K-Intent </t>
    </r>
    <r>
      <rPr>
        <sz val="10"/>
        <rFont val="Noto Sans CJK SC"/>
        <family val="2"/>
      </rPr>
      <t xml:space="preserve">등 태그 계층 → </t>
    </r>
    <r>
      <rPr>
        <sz val="10"/>
        <rFont val="Arial"/>
        <family val="0"/>
        <charset val="1"/>
      </rPr>
      <t xml:space="preserve">SP(</t>
    </r>
    <r>
      <rPr>
        <sz val="10"/>
        <rFont val="Noto Sans CJK SC"/>
        <family val="2"/>
      </rPr>
      <t xml:space="preserve">개별 페르소나</t>
    </r>
    <r>
      <rPr>
        <sz val="10"/>
        <rFont val="Arial"/>
        <family val="0"/>
        <charset val="1"/>
      </rPr>
      <t xml:space="preserve">) → worker.js(231</t>
    </r>
    <r>
      <rPr>
        <sz val="10"/>
        <rFont val="Noto Sans CJK SC"/>
        <family val="2"/>
      </rPr>
      <t xml:space="preserve">개 </t>
    </r>
    <r>
      <rPr>
        <sz val="10"/>
        <rFont val="Arial"/>
        <family val="0"/>
        <charset val="1"/>
      </rPr>
      <t xml:space="preserve">REST </t>
    </r>
    <r>
      <rPr>
        <sz val="10"/>
        <rFont val="Noto Sans CJK SC"/>
        <family val="2"/>
      </rPr>
      <t xml:space="preserve">엔드포인트</t>
    </r>
    <r>
      <rPr>
        <sz val="10"/>
        <rFont val="Arial"/>
        <family val="0"/>
        <charset val="1"/>
      </rPr>
      <t xml:space="preserve">) → PocketBase L1 </t>
    </r>
    <r>
      <rPr>
        <sz val="10"/>
        <rFont val="Noto Sans CJK SC"/>
        <family val="2"/>
      </rPr>
      <t xml:space="preserve">순으로 층이 나뉜다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층을 섞어 테스트하면 실패 원인 특정이 어려워지므로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 표는 층별로 시트를 나눈다</t>
    </r>
    <r>
      <rPr>
        <sz val="10"/>
        <rFont val="Arial"/>
        <family val="0"/>
        <charset val="1"/>
      </rPr>
      <t xml:space="preserve">.</t>
    </r>
  </si>
  <si>
    <r>
      <rPr>
        <b val="true"/>
        <sz val="11"/>
        <rFont val="Noto Sans CJK SC"/>
        <family val="2"/>
      </rPr>
      <t xml:space="preserve">원칙 </t>
    </r>
    <r>
      <rPr>
        <b val="true"/>
        <sz val="11"/>
        <rFont val="Arial"/>
        <family val="0"/>
        <charset val="1"/>
      </rPr>
      <t xml:space="preserve">4 — </t>
    </r>
    <r>
      <rPr>
        <b val="true"/>
        <sz val="11"/>
        <rFont val="Noto Sans CJK SC"/>
        <family val="2"/>
      </rPr>
      <t xml:space="preserve">동시 세션 경합 고려</t>
    </r>
  </si>
  <si>
    <r>
      <rPr>
        <sz val="10"/>
        <rFont val="Noto Sans CJK SC"/>
        <family val="2"/>
      </rPr>
      <t xml:space="preserve">메모리</t>
    </r>
    <r>
      <rPr>
        <sz val="10"/>
        <rFont val="Arial"/>
        <family val="0"/>
        <charset val="1"/>
      </rPr>
      <t xml:space="preserve">·NEXT_SESSION_HANDOFF </t>
    </r>
    <r>
      <rPr>
        <sz val="10"/>
        <rFont val="Noto Sans CJK SC"/>
        <family val="2"/>
      </rPr>
      <t xml:space="preserve">문서들이 반복적으로 지적하듯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 저장소는 여러 세션이 동시에 커밋한다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모든 테스트 실행 전 </t>
    </r>
    <r>
      <rPr>
        <sz val="10"/>
        <rFont val="Arial"/>
        <family val="0"/>
        <charset val="1"/>
      </rPr>
      <t xml:space="preserve">git pull --rebase, sp-catalog.json </t>
    </r>
    <r>
      <rPr>
        <sz val="10"/>
        <rFont val="Noto Sans CJK SC"/>
        <family val="2"/>
      </rPr>
      <t xml:space="preserve">등 공유 산출물은 현재 </t>
    </r>
    <r>
      <rPr>
        <sz val="10"/>
        <rFont val="Arial"/>
        <family val="0"/>
        <charset val="1"/>
      </rPr>
      <t xml:space="preserve">HEAD </t>
    </r>
    <r>
      <rPr>
        <sz val="10"/>
        <rFont val="Noto Sans CJK SC"/>
        <family val="2"/>
      </rPr>
      <t xml:space="preserve">기준 </t>
    </r>
    <r>
      <rPr>
        <sz val="10"/>
        <rFont val="Arial"/>
        <family val="0"/>
        <charset val="1"/>
      </rPr>
      <t xml:space="preserve">in-place </t>
    </r>
    <r>
      <rPr>
        <sz val="10"/>
        <rFont val="Noto Sans CJK SC"/>
        <family val="2"/>
      </rPr>
      <t xml:space="preserve">수정만 — 이 표의 모든 절차에 암묵적으로 적용된다</t>
    </r>
    <r>
      <rPr>
        <sz val="10"/>
        <rFont val="Arial"/>
        <family val="0"/>
        <charset val="1"/>
      </rPr>
      <t xml:space="preserve">.</t>
    </r>
  </si>
  <si>
    <t xml:space="preserve">단계별 진행 순서</t>
  </si>
  <si>
    <t xml:space="preserve">단계</t>
  </si>
  <si>
    <t xml:space="preserve">이름</t>
  </si>
  <si>
    <t xml:space="preserve">내용</t>
  </si>
  <si>
    <t xml:space="preserve">예상 소요</t>
  </si>
  <si>
    <t xml:space="preserve">Phase 0</t>
  </si>
  <si>
    <t xml:space="preserve">환경 준비</t>
  </si>
  <si>
    <r>
      <rPr>
        <sz val="10"/>
        <rFont val="Arial"/>
        <family val="0"/>
        <charset val="1"/>
      </rPr>
      <t xml:space="preserve">git pull --rebase</t>
    </r>
    <r>
      <rPr>
        <sz val="10"/>
        <rFont val="Noto Sans CJK SC"/>
        <family val="2"/>
      </rPr>
      <t xml:space="preserve">로 최신화</t>
    </r>
    <r>
      <rPr>
        <sz val="10"/>
        <rFont val="Arial"/>
        <family val="0"/>
        <charset val="1"/>
      </rPr>
      <t xml:space="preserve">, DEEPSEEK_API_KEY </t>
    </r>
    <r>
      <rPr>
        <sz val="10"/>
        <rFont val="Noto Sans CJK SC"/>
        <family val="2"/>
      </rPr>
      <t xml:space="preserve">등 시크릿 확인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시트 </t>
    </r>
    <r>
      <rPr>
        <sz val="10"/>
        <rFont val="Arial"/>
        <family val="0"/>
        <charset val="1"/>
      </rPr>
      <t xml:space="preserve">01 </t>
    </r>
    <r>
      <rPr>
        <sz val="10"/>
        <rFont val="Noto Sans CJK SC"/>
        <family val="2"/>
      </rPr>
      <t xml:space="preserve">참조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동시 세션 여부 </t>
    </r>
    <r>
      <rPr>
        <sz val="10"/>
        <rFont val="Arial"/>
        <family val="0"/>
        <charset val="1"/>
      </rPr>
      <t xml:space="preserve">git log --oneline -15</t>
    </r>
    <r>
      <rPr>
        <sz val="10"/>
        <rFont val="Noto Sans CJK SC"/>
        <family val="2"/>
      </rPr>
      <t xml:space="preserve">로 확인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</si>
  <si>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분</t>
    </r>
  </si>
  <si>
    <t xml:space="preserve">Phase 1</t>
  </si>
  <si>
    <t xml:space="preserve">기존 자동화 전체 실행</t>
  </si>
  <si>
    <r>
      <rPr>
        <sz val="10"/>
        <rFont val="Noto Sans CJK SC"/>
        <family val="2"/>
      </rPr>
      <t xml:space="preserve">시트 </t>
    </r>
    <r>
      <rPr>
        <sz val="10"/>
        <rFont val="Arial"/>
        <family val="0"/>
        <charset val="1"/>
      </rPr>
      <t xml:space="preserve">01</t>
    </r>
    <r>
      <rPr>
        <sz val="10"/>
        <rFont val="Noto Sans CJK SC"/>
        <family val="2"/>
      </rPr>
      <t xml:space="preserve">의 </t>
    </r>
    <r>
      <rPr>
        <sz val="10"/>
        <rFont val="Arial"/>
        <family val="0"/>
        <charset val="1"/>
      </rPr>
      <t xml:space="preserve">27</t>
    </r>
    <r>
      <rPr>
        <sz val="10"/>
        <rFont val="Noto Sans CJK SC"/>
        <family val="2"/>
      </rPr>
      <t xml:space="preserve">개 워크플로 </t>
    </r>
    <r>
      <rPr>
        <sz val="10"/>
        <rFont val="Arial"/>
        <family val="0"/>
        <charset val="1"/>
      </rPr>
      <t xml:space="preserve">+ 6</t>
    </r>
    <r>
      <rPr>
        <sz val="10"/>
        <rFont val="Noto Sans CJK SC"/>
        <family val="2"/>
      </rPr>
      <t xml:space="preserve">개 라이브 하네스를 순서대로 트리거하고 </t>
    </r>
    <r>
      <rPr>
        <sz val="10"/>
        <rFont val="Arial"/>
        <family val="0"/>
        <charset val="1"/>
      </rPr>
      <t xml:space="preserve">results/ </t>
    </r>
    <r>
      <rPr>
        <sz val="10"/>
        <rFont val="Noto Sans CJK SC"/>
        <family val="2"/>
      </rPr>
      <t xml:space="preserve">산출물을 이 표의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상태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열에 기록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실패 항목만 </t>
    </r>
    <r>
      <rPr>
        <sz val="10"/>
        <rFont val="Arial"/>
        <family val="0"/>
        <charset val="1"/>
      </rPr>
      <t xml:space="preserve">Phase 2~4</t>
    </r>
    <r>
      <rPr>
        <sz val="10"/>
        <rFont val="Noto Sans CJK SC"/>
        <family val="2"/>
      </rPr>
      <t xml:space="preserve">로 넘어간다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</si>
  <si>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1~2</t>
    </r>
    <r>
      <rPr>
        <sz val="10"/>
        <rFont val="Noto Sans CJK SC"/>
        <family val="2"/>
      </rPr>
      <t xml:space="preserve">시간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대부분 </t>
    </r>
    <r>
      <rPr>
        <sz val="10"/>
        <rFont val="Arial"/>
        <family val="0"/>
        <charset val="1"/>
      </rPr>
      <t xml:space="preserve">CI </t>
    </r>
    <r>
      <rPr>
        <sz val="10"/>
        <rFont val="Noto Sans CJK SC"/>
        <family val="2"/>
      </rPr>
      <t xml:space="preserve">대기</t>
    </r>
    <r>
      <rPr>
        <sz val="10"/>
        <rFont val="Arial"/>
        <family val="0"/>
        <charset val="1"/>
      </rPr>
      <t xml:space="preserve">)</t>
    </r>
  </si>
  <si>
    <t xml:space="preserve">Phase 2</t>
  </si>
  <si>
    <t xml:space="preserve">회귀 우선 재현</t>
  </si>
  <si>
    <r>
      <rPr>
        <sz val="10"/>
        <rFont val="Noto Sans CJK SC"/>
        <family val="2"/>
      </rPr>
      <t xml:space="preserve">시트 </t>
    </r>
    <r>
      <rPr>
        <sz val="10"/>
        <rFont val="Arial"/>
        <family val="0"/>
        <charset val="1"/>
      </rPr>
      <t xml:space="preserve">11(</t>
    </r>
    <r>
      <rPr>
        <sz val="10"/>
        <rFont val="Noto Sans CJK SC"/>
        <family val="2"/>
      </rPr>
      <t xml:space="preserve">과거 인시던트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이번 세션 </t>
    </r>
    <r>
      <rPr>
        <sz val="10"/>
        <rFont val="Arial"/>
        <family val="0"/>
        <charset val="1"/>
      </rPr>
      <t xml:space="preserve">GWP </t>
    </r>
    <r>
      <rPr>
        <sz val="10"/>
        <rFont val="Noto Sans CJK SC"/>
        <family val="2"/>
      </rPr>
      <t xml:space="preserve">수정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을 수동으로 재현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가장 비용 대비 파급력이 큰 구간이라 자동화 결과와 무관하게 항상 수행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</si>
  <si>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1~2</t>
    </r>
    <r>
      <rPr>
        <sz val="10"/>
        <rFont val="Noto Sans CJK SC"/>
        <family val="2"/>
      </rPr>
      <t xml:space="preserve">시간</t>
    </r>
  </si>
  <si>
    <t xml:space="preserve">Phase 3</t>
  </si>
  <si>
    <t xml:space="preserve">계층별 신규 영역</t>
  </si>
  <si>
    <r>
      <rPr>
        <sz val="10"/>
        <rFont val="Noto Sans CJK SC"/>
        <family val="2"/>
      </rPr>
      <t xml:space="preserve">시트 </t>
    </r>
    <r>
      <rPr>
        <sz val="10"/>
        <rFont val="Arial"/>
        <family val="0"/>
        <charset val="1"/>
      </rPr>
      <t xml:space="preserve">02~10</t>
    </r>
    <r>
      <rPr>
        <sz val="10"/>
        <rFont val="Noto Sans CJK SC"/>
        <family val="2"/>
      </rPr>
      <t xml:space="preserve">을 영역별로 순서대로 진행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각 시트 상단에 우선순위</t>
    </r>
    <r>
      <rPr>
        <sz val="10"/>
        <rFont val="Arial"/>
        <family val="0"/>
        <charset val="1"/>
      </rPr>
      <t xml:space="preserve">(P0</t>
    </r>
    <r>
      <rPr>
        <sz val="10"/>
        <rFont val="Noto Sans CJK SC"/>
        <family val="2"/>
      </rPr>
      <t xml:space="preserve">부터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정렬돼 있으므로 위에서부터 처리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한 시트를 끝내야 다음 시트로 — 계층이 얽혀있어 뒤섞으면 실패 원인 특정이 어려워진다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원칙 </t>
    </r>
    <r>
      <rPr>
        <sz val="10"/>
        <rFont val="Arial"/>
        <family val="0"/>
        <charset val="1"/>
      </rPr>
      <t xml:space="preserve">3).</t>
    </r>
  </si>
  <si>
    <r>
      <rPr>
        <sz val="10"/>
        <rFont val="Noto Sans CJK SC"/>
        <family val="2"/>
      </rPr>
      <t xml:space="preserve">영역별 반나절</t>
    </r>
    <r>
      <rPr>
        <sz val="10"/>
        <rFont val="Arial"/>
        <family val="0"/>
        <charset val="1"/>
      </rPr>
      <t xml:space="preserve">~2</t>
    </r>
    <r>
      <rPr>
        <sz val="10"/>
        <rFont val="Noto Sans CJK SC"/>
        <family val="2"/>
      </rPr>
      <t xml:space="preserve">일</t>
    </r>
  </si>
  <si>
    <t xml:space="preserve">Phase 4</t>
  </si>
  <si>
    <t xml:space="preserve">위성 저장소 교차검증</t>
  </si>
  <si>
    <r>
      <rPr>
        <sz val="10"/>
        <rFont val="Noto Sans CJK SC"/>
        <family val="2"/>
      </rPr>
      <t xml:space="preserve">허브에서 발견된 패턴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Arial"/>
        <family val="0"/>
        <charset val="1"/>
      </rPr>
      <t xml:space="preserve">: type:tool/inline GWP </t>
    </r>
    <r>
      <rPr>
        <sz val="10"/>
        <rFont val="Noto Sans CJK SC"/>
        <family val="2"/>
      </rPr>
      <t xml:space="preserve">사각지대류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이 </t>
    </r>
    <r>
      <rPr>
        <sz val="10"/>
        <rFont val="Arial"/>
        <family val="0"/>
        <charset val="1"/>
      </rPr>
      <t xml:space="preserve">18+ </t>
    </r>
    <r>
      <rPr>
        <sz val="10"/>
        <rFont val="Noto Sans CJK SC"/>
        <family val="2"/>
      </rPr>
      <t xml:space="preserve">위성 저장소에도 있는지 시트 </t>
    </r>
    <r>
      <rPr>
        <sz val="10"/>
        <rFont val="Arial"/>
        <family val="0"/>
        <charset val="1"/>
      </rPr>
      <t xml:space="preserve">09 </t>
    </r>
    <r>
      <rPr>
        <sz val="10"/>
        <rFont val="Noto Sans CJK SC"/>
        <family val="2"/>
      </rPr>
      <t xml:space="preserve">절차로 샘플링 점검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</si>
  <si>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저장소당 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분</t>
    </r>
  </si>
  <si>
    <t xml:space="preserve">Phase 5</t>
  </si>
  <si>
    <r>
      <rPr>
        <sz val="10"/>
        <rFont val="Noto Sans CJK SC"/>
        <family val="2"/>
      </rPr>
      <t xml:space="preserve">결과 정리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재발방지</t>
    </r>
  </si>
  <si>
    <r>
      <rPr>
        <sz val="10"/>
        <rFont val="Noto Sans CJK SC"/>
        <family val="2"/>
      </rPr>
      <t xml:space="preserve">실패 항목을 이슈</t>
    </r>
    <r>
      <rPr>
        <sz val="10"/>
        <rFont val="Arial"/>
        <family val="0"/>
        <charset val="1"/>
      </rPr>
      <t xml:space="preserve">/PR</t>
    </r>
    <r>
      <rPr>
        <sz val="10"/>
        <rFont val="Noto Sans CJK SC"/>
        <family val="2"/>
      </rPr>
      <t xml:space="preserve">로 전환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 워크북의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상태</t>
    </r>
    <r>
      <rPr>
        <sz val="10"/>
        <rFont val="Arial"/>
        <family val="0"/>
        <charset val="1"/>
      </rPr>
      <t xml:space="preserve">'·'</t>
    </r>
    <r>
      <rPr>
        <sz val="10"/>
        <rFont val="Noto Sans CJK SC"/>
        <family val="2"/>
      </rPr>
      <t xml:space="preserve">비고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열을 갱신해 다음 세션 인수인계 문서</t>
    </r>
    <r>
      <rPr>
        <sz val="10"/>
        <rFont val="Arial"/>
        <family val="0"/>
        <charset val="1"/>
      </rPr>
      <t xml:space="preserve">(NEXT_SESSION_HANDOFF </t>
    </r>
    <r>
      <rPr>
        <sz val="10"/>
        <rFont val="Noto Sans CJK SC"/>
        <family val="2"/>
      </rPr>
      <t xml:space="preserve">관례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에 첨부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</si>
  <si>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시간</t>
    </r>
  </si>
  <si>
    <r>
      <rPr>
        <b val="true"/>
        <sz val="14"/>
        <rFont val="Noto Sans CJK SC"/>
        <family val="2"/>
      </rPr>
      <t xml:space="preserve">진행 현황 대시보드 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Noto Sans CJK SC"/>
        <family val="2"/>
      </rPr>
      <t xml:space="preserve">자동 집계 — 각 시트의 </t>
    </r>
    <r>
      <rPr>
        <b val="true"/>
        <sz val="14"/>
        <rFont val="Arial"/>
        <family val="0"/>
        <charset val="1"/>
      </rPr>
      <t xml:space="preserve">'</t>
    </r>
    <r>
      <rPr>
        <b val="true"/>
        <sz val="14"/>
        <rFont val="Noto Sans CJK SC"/>
        <family val="2"/>
      </rPr>
      <t xml:space="preserve">우선순위</t>
    </r>
    <r>
      <rPr>
        <b val="true"/>
        <sz val="14"/>
        <rFont val="Arial"/>
        <family val="0"/>
        <charset val="1"/>
      </rPr>
      <t xml:space="preserve">'·'</t>
    </r>
    <r>
      <rPr>
        <b val="true"/>
        <sz val="14"/>
        <rFont val="Noto Sans CJK SC"/>
        <family val="2"/>
      </rPr>
      <t xml:space="preserve">상태</t>
    </r>
    <r>
      <rPr>
        <b val="true"/>
        <sz val="14"/>
        <rFont val="Arial"/>
        <family val="0"/>
        <charset val="1"/>
      </rPr>
      <t xml:space="preserve">' </t>
    </r>
    <r>
      <rPr>
        <b val="true"/>
        <sz val="14"/>
        <rFont val="Noto Sans CJK SC"/>
        <family val="2"/>
      </rPr>
      <t xml:space="preserve">열 참조</t>
    </r>
    <r>
      <rPr>
        <b val="true"/>
        <sz val="14"/>
        <rFont val="Arial"/>
        <family val="0"/>
        <charset val="1"/>
      </rPr>
      <t xml:space="preserve">)</t>
    </r>
  </si>
  <si>
    <r>
      <rPr>
        <i val="true"/>
        <sz val="9"/>
        <color rgb="FF6B7280"/>
        <rFont val="Arial"/>
        <family val="0"/>
        <charset val="1"/>
      </rPr>
      <t xml:space="preserve">'</t>
    </r>
    <r>
      <rPr>
        <i val="true"/>
        <sz val="9"/>
        <color rgb="FF6B7280"/>
        <rFont val="Noto Sans CJK SC"/>
        <family val="2"/>
      </rPr>
      <t xml:space="preserve">상태</t>
    </r>
    <r>
      <rPr>
        <i val="true"/>
        <sz val="9"/>
        <color rgb="FF6B7280"/>
        <rFont val="Arial"/>
        <family val="0"/>
        <charset val="1"/>
      </rPr>
      <t xml:space="preserve">' </t>
    </r>
    <r>
      <rPr>
        <i val="true"/>
        <sz val="9"/>
        <color rgb="FF6B7280"/>
        <rFont val="Noto Sans CJK SC"/>
        <family val="2"/>
      </rPr>
      <t xml:space="preserve">열에 </t>
    </r>
    <r>
      <rPr>
        <i val="true"/>
        <sz val="9"/>
        <color rgb="FF6B7280"/>
        <rFont val="Arial"/>
        <family val="0"/>
        <charset val="1"/>
      </rPr>
      <t xml:space="preserve">'</t>
    </r>
    <r>
      <rPr>
        <i val="true"/>
        <sz val="9"/>
        <color rgb="FF6B7280"/>
        <rFont val="Noto Sans CJK SC"/>
        <family val="2"/>
      </rPr>
      <t xml:space="preserve">완료</t>
    </r>
    <r>
      <rPr>
        <i val="true"/>
        <sz val="9"/>
        <color rgb="FF6B7280"/>
        <rFont val="Arial"/>
        <family val="0"/>
        <charset val="1"/>
      </rPr>
      <t xml:space="preserve">'</t>
    </r>
    <r>
      <rPr>
        <i val="true"/>
        <sz val="9"/>
        <color rgb="FF6B7280"/>
        <rFont val="Noto Sans CJK SC"/>
        <family val="2"/>
      </rPr>
      <t xml:space="preserve">라고 적으면 자동으로 완료 카운트에 반영됩니다</t>
    </r>
    <r>
      <rPr>
        <i val="true"/>
        <sz val="9"/>
        <color rgb="FF6B7280"/>
        <rFont val="Arial"/>
        <family val="0"/>
        <charset val="1"/>
      </rPr>
      <t xml:space="preserve">. </t>
    </r>
    <r>
      <rPr>
        <i val="true"/>
        <sz val="9"/>
        <color rgb="FF6B7280"/>
        <rFont val="Noto Sans CJK SC"/>
        <family val="2"/>
      </rPr>
      <t xml:space="preserve">진행 중엔 비워두거나 </t>
    </r>
    <r>
      <rPr>
        <i val="true"/>
        <sz val="9"/>
        <color rgb="FF6B7280"/>
        <rFont val="Arial"/>
        <family val="0"/>
        <charset val="1"/>
      </rPr>
      <t xml:space="preserve">'</t>
    </r>
    <r>
      <rPr>
        <i val="true"/>
        <sz val="9"/>
        <color rgb="FF6B7280"/>
        <rFont val="Noto Sans CJK SC"/>
        <family val="2"/>
      </rPr>
      <t xml:space="preserve">진행중</t>
    </r>
    <r>
      <rPr>
        <i val="true"/>
        <sz val="9"/>
        <color rgb="FF6B7280"/>
        <rFont val="Arial"/>
        <family val="0"/>
        <charset val="1"/>
      </rPr>
      <t xml:space="preserve">'/'</t>
    </r>
    <r>
      <rPr>
        <i val="true"/>
        <sz val="9"/>
        <color rgb="FF6B7280"/>
        <rFont val="Noto Sans CJK SC"/>
        <family val="2"/>
      </rPr>
      <t xml:space="preserve">실패</t>
    </r>
    <r>
      <rPr>
        <i val="true"/>
        <sz val="9"/>
        <color rgb="FF6B7280"/>
        <rFont val="Arial"/>
        <family val="0"/>
        <charset val="1"/>
      </rPr>
      <t xml:space="preserve">' </t>
    </r>
    <r>
      <rPr>
        <i val="true"/>
        <sz val="9"/>
        <color rgb="FF6B7280"/>
        <rFont val="Noto Sans CJK SC"/>
        <family val="2"/>
      </rPr>
      <t xml:space="preserve">등을 적으세요</t>
    </r>
    <r>
      <rPr>
        <i val="true"/>
        <sz val="9"/>
        <color rgb="FF6B7280"/>
        <rFont val="Arial"/>
        <family val="0"/>
        <charset val="1"/>
      </rPr>
      <t xml:space="preserve">.</t>
    </r>
  </si>
  <si>
    <t xml:space="preserve">시트</t>
  </si>
  <si>
    <t xml:space="preserve">전체 항목</t>
  </si>
  <si>
    <t xml:space="preserve">P0</t>
  </si>
  <si>
    <t xml:space="preserve">P1</t>
  </si>
  <si>
    <t xml:space="preserve">P2</t>
  </si>
  <si>
    <r>
      <rPr>
        <b val="true"/>
        <sz val="10"/>
        <color rgb="FFFFFFFF"/>
        <rFont val="Noto Sans CJK SC"/>
        <family val="2"/>
      </rPr>
      <t xml:space="preserve">완료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상태</t>
    </r>
    <r>
      <rPr>
        <b val="true"/>
        <sz val="10"/>
        <color rgb="FFFFFFFF"/>
        <rFont val="Arial"/>
        <family val="0"/>
        <charset val="1"/>
      </rPr>
      <t xml:space="preserve">=</t>
    </r>
    <r>
      <rPr>
        <b val="true"/>
        <sz val="10"/>
        <color rgb="FFFFFFFF"/>
        <rFont val="Noto Sans CJK SC"/>
        <family val="2"/>
      </rPr>
      <t xml:space="preserve">완료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</si>
  <si>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완료율</t>
  </si>
  <si>
    <r>
      <rPr>
        <sz val="10"/>
        <rFont val="Arial"/>
        <family val="0"/>
        <charset val="1"/>
      </rPr>
      <t xml:space="preserve">01_</t>
    </r>
    <r>
      <rPr>
        <sz val="10"/>
        <rFont val="Noto Sans CJK SC"/>
        <family val="2"/>
      </rPr>
      <t xml:space="preserve">기존자동화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인벤토리</t>
    </r>
  </si>
  <si>
    <r>
      <rPr>
        <sz val="10"/>
        <rFont val="Arial"/>
        <family val="0"/>
        <charset val="1"/>
      </rPr>
      <t xml:space="preserve">02_</t>
    </r>
    <r>
      <rPr>
        <sz val="10"/>
        <rFont val="Noto Sans CJK SC"/>
        <family val="2"/>
      </rPr>
      <t xml:space="preserve">라우팅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오케스트레이션</t>
    </r>
  </si>
  <si>
    <r>
      <rPr>
        <sz val="10"/>
        <rFont val="Arial"/>
        <family val="0"/>
        <charset val="1"/>
      </rPr>
      <t xml:space="preserve">03_</t>
    </r>
    <r>
      <rPr>
        <sz val="10"/>
        <rFont val="Noto Sans CJK SC"/>
        <family val="2"/>
      </rPr>
      <t xml:space="preserve">관제탑원칙</t>
    </r>
    <r>
      <rPr>
        <sz val="10"/>
        <rFont val="Arial"/>
        <family val="0"/>
        <charset val="1"/>
      </rPr>
      <t xml:space="preserve">_SP</t>
    </r>
    <r>
      <rPr>
        <sz val="10"/>
        <rFont val="Noto Sans CJK SC"/>
        <family val="2"/>
      </rPr>
      <t xml:space="preserve">구성</t>
    </r>
  </si>
  <si>
    <r>
      <rPr>
        <sz val="10"/>
        <rFont val="Arial"/>
        <family val="0"/>
        <charset val="1"/>
      </rPr>
      <t xml:space="preserve">04_</t>
    </r>
    <r>
      <rPr>
        <sz val="10"/>
        <rFont val="Noto Sans CJK SC"/>
        <family val="2"/>
      </rPr>
      <t xml:space="preserve">인증</t>
    </r>
    <r>
      <rPr>
        <sz val="10"/>
        <rFont val="Arial"/>
        <family val="0"/>
        <charset val="1"/>
      </rPr>
      <t xml:space="preserve">_SSO_</t>
    </r>
    <r>
      <rPr>
        <sz val="10"/>
        <rFont val="Noto Sans CJK SC"/>
        <family val="2"/>
      </rPr>
      <t xml:space="preserve">보안</t>
    </r>
  </si>
  <si>
    <r>
      <rPr>
        <sz val="10"/>
        <rFont val="Arial"/>
        <family val="0"/>
        <charset val="1"/>
      </rPr>
      <t xml:space="preserve">05_PDV_GDC_</t>
    </r>
    <r>
      <rPr>
        <sz val="10"/>
        <rFont val="Noto Sans CJK SC"/>
        <family val="2"/>
      </rPr>
      <t xml:space="preserve">지갑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결제</t>
    </r>
  </si>
  <si>
    <r>
      <rPr>
        <sz val="10"/>
        <rFont val="Arial"/>
        <family val="0"/>
        <charset val="1"/>
      </rPr>
      <t xml:space="preserve">06_govtree_</t>
    </r>
    <r>
      <rPr>
        <sz val="10"/>
        <rFont val="Noto Sans CJK SC"/>
        <family val="2"/>
      </rPr>
      <t xml:space="preserve">행정서비스</t>
    </r>
  </si>
  <si>
    <r>
      <rPr>
        <sz val="10"/>
        <rFont val="Arial"/>
        <family val="0"/>
        <charset val="1"/>
      </rPr>
      <t xml:space="preserve">07_EXPERT_</t>
    </r>
    <r>
      <rPr>
        <sz val="10"/>
        <rFont val="Noto Sans CJK SC"/>
        <family val="2"/>
      </rPr>
      <t xml:space="preserve">페르소나</t>
    </r>
  </si>
  <si>
    <r>
      <rPr>
        <sz val="10"/>
        <rFont val="Arial"/>
        <family val="0"/>
        <charset val="1"/>
      </rPr>
      <t xml:space="preserve">08_biz_</t>
    </r>
    <r>
      <rPr>
        <sz val="10"/>
        <rFont val="Noto Sans CJK SC"/>
        <family val="2"/>
      </rPr>
      <t xml:space="preserve">상거래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결제</t>
    </r>
  </si>
  <si>
    <r>
      <rPr>
        <sz val="10"/>
        <rFont val="Arial"/>
        <family val="0"/>
        <charset val="1"/>
      </rPr>
      <t xml:space="preserve">09_</t>
    </r>
    <r>
      <rPr>
        <sz val="10"/>
        <rFont val="Noto Sans CJK SC"/>
        <family val="2"/>
      </rPr>
      <t xml:space="preserve">위성저장소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동기화</t>
    </r>
  </si>
  <si>
    <r>
      <rPr>
        <sz val="10"/>
        <rFont val="Arial"/>
        <family val="0"/>
        <charset val="1"/>
      </rPr>
      <t xml:space="preserve">10_UI_UX_</t>
    </r>
    <r>
      <rPr>
        <sz val="10"/>
        <rFont val="Noto Sans CJK SC"/>
        <family val="2"/>
      </rPr>
      <t xml:space="preserve">회귀</t>
    </r>
  </si>
  <si>
    <r>
      <rPr>
        <sz val="10"/>
        <rFont val="Arial"/>
        <family val="0"/>
        <charset val="1"/>
      </rPr>
      <t xml:space="preserve">11_</t>
    </r>
    <r>
      <rPr>
        <sz val="10"/>
        <rFont val="Noto Sans CJK SC"/>
        <family val="2"/>
      </rPr>
      <t xml:space="preserve">회귀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인시던트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체크리스트</t>
    </r>
  </si>
  <si>
    <t xml:space="preserve">합계</t>
  </si>
  <si>
    <t xml:space="preserve">우선순위 기준</t>
  </si>
  <si>
    <r>
      <rPr>
        <sz val="10"/>
        <rFont val="Noto Sans CJK SC"/>
        <family val="2"/>
      </rPr>
      <t xml:space="preserve">치명 — 실사용자 영향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보안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데이터 정합성</t>
    </r>
    <r>
      <rPr>
        <sz val="10"/>
        <rFont val="Arial"/>
        <family val="0"/>
        <charset val="1"/>
      </rPr>
      <t xml:space="preserve">. Phase 2~3</t>
    </r>
    <r>
      <rPr>
        <sz val="10"/>
        <rFont val="Noto Sans CJK SC"/>
        <family val="2"/>
      </rPr>
      <t xml:space="preserve">에서 최우선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</si>
  <si>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중요 — 기능 정확성</t>
    </r>
    <r>
      <rPr>
        <sz val="10"/>
        <rFont val="Arial"/>
        <family val="0"/>
        <charset val="1"/>
      </rPr>
      <t xml:space="preserve">. P0 </t>
    </r>
    <r>
      <rPr>
        <sz val="10"/>
        <rFont val="Noto Sans CJK SC"/>
        <family val="2"/>
      </rPr>
      <t xml:space="preserve">처리 후 진행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</si>
  <si>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일반 — 편의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문서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부가기능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여유 있을 때 진행</t>
    </r>
    <r>
      <rPr>
        <sz val="10"/>
        <rFont val="Arial"/>
        <family val="0"/>
        <charset val="1"/>
      </rPr>
      <t xml:space="preserve">.</t>
    </r>
  </si>
  <si>
    <t xml:space="preserve">ID</t>
  </si>
  <si>
    <t xml:space="preserve">영역</t>
  </si>
  <si>
    <t xml:space="preserve">테스트 항목</t>
  </si>
  <si>
    <t xml:space="preserve">방법</t>
  </si>
  <si>
    <r>
      <rPr>
        <b val="true"/>
        <sz val="10"/>
        <color rgb="FFFFFFFF"/>
        <rFont val="Noto Sans CJK SC"/>
        <family val="2"/>
      </rPr>
      <t xml:space="preserve">참조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파일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도구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워크플로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</si>
  <si>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우선순위</t>
  </si>
  <si>
    <t xml:space="preserve">통과 기준</t>
  </si>
  <si>
    <t xml:space="preserve">상태</t>
  </si>
  <si>
    <t xml:space="preserve">비고</t>
  </si>
  <si>
    <t xml:space="preserve">AUTO-01</t>
  </si>
  <si>
    <r>
      <rPr>
        <sz val="10"/>
        <rFont val="Arial"/>
        <family val="0"/>
        <charset val="1"/>
      </rPr>
      <t xml:space="preserve">CI </t>
    </r>
    <r>
      <rPr>
        <sz val="10"/>
        <rFont val="Noto Sans CJK SC"/>
        <family val="2"/>
      </rPr>
      <t xml:space="preserve">정적가드</t>
    </r>
  </si>
  <si>
    <r>
      <rPr>
        <sz val="10"/>
        <rFont val="Arial"/>
        <family val="0"/>
        <charset val="1"/>
      </rPr>
      <t xml:space="preserve">HONDI-CAPABILITIES-COMMON </t>
    </r>
    <r>
      <rPr>
        <sz val="10"/>
        <rFont val="Noto Sans CJK SC"/>
        <family val="2"/>
      </rPr>
      <t xml:space="preserve">레지스트리가 실제 코드와 일치하는지</t>
    </r>
  </si>
  <si>
    <r>
      <rPr>
        <sz val="10"/>
        <rFont val="Noto Sans CJK SC"/>
        <family val="2"/>
      </rPr>
      <t xml:space="preserve">기존자동화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실행</t>
    </r>
  </si>
  <si>
    <t xml:space="preserve">.github/workflows/check-capabilities-registry.yml</t>
  </si>
  <si>
    <t xml:space="preserve">CI green</t>
  </si>
  <si>
    <t xml:space="preserve">AUTO-02</t>
  </si>
  <si>
    <r>
      <rPr>
        <sz val="10"/>
        <rFont val="Arial"/>
        <family val="0"/>
        <charset val="1"/>
      </rPr>
      <t xml:space="preserve">EXPERT </t>
    </r>
    <r>
      <rPr>
        <sz val="10"/>
        <rFont val="Noto Sans CJK SC"/>
        <family val="2"/>
      </rPr>
      <t xml:space="preserve">페르소나 테이블 동기화</t>
    </r>
    <r>
      <rPr>
        <sz val="10"/>
        <rFont val="Arial"/>
        <family val="0"/>
        <charset val="1"/>
      </rPr>
      <t xml:space="preserve">(§CATALOG-EXPERT ↔ expert-registry-*.js)</t>
    </r>
  </si>
  <si>
    <t xml:space="preserve">.github/workflows/check-expert-table-sync.yml</t>
  </si>
  <si>
    <t xml:space="preserve">AUTO-03</t>
  </si>
  <si>
    <r>
      <rPr>
        <sz val="10"/>
        <rFont val="Arial"/>
        <family val="0"/>
        <charset val="1"/>
      </rPr>
      <t xml:space="preserve">GWP </t>
    </r>
    <r>
      <rPr>
        <sz val="10"/>
        <rFont val="Noto Sans CJK SC"/>
        <family val="2"/>
      </rPr>
      <t xml:space="preserve">리포트 형식 준수</t>
    </r>
    <r>
      <rPr>
        <sz val="10"/>
        <rFont val="Arial"/>
        <family val="0"/>
        <charset val="1"/>
      </rPr>
      <t xml:space="preserve">(kestate/ktelecom </t>
    </r>
    <r>
      <rPr>
        <sz val="10"/>
        <rFont val="Noto Sans CJK SC"/>
        <family val="2"/>
      </rPr>
      <t xml:space="preserve">등 </t>
    </r>
    <r>
      <rPr>
        <sz val="10"/>
        <rFont val="Arial"/>
        <family val="0"/>
        <charset val="1"/>
      </rPr>
      <t xml:space="preserve">GWP </t>
    </r>
    <r>
      <rPr>
        <sz val="10"/>
        <rFont val="Noto Sans CJK SC"/>
        <family val="2"/>
      </rPr>
      <t xml:space="preserve">태그 포맷</t>
    </r>
    <r>
      <rPr>
        <sz val="10"/>
        <rFont val="Arial"/>
        <family val="0"/>
        <charset val="1"/>
      </rPr>
      <t xml:space="preserve">)</t>
    </r>
  </si>
  <si>
    <t xml:space="preserve">.github/workflows/check-gwp-report-compliance.yml</t>
  </si>
  <si>
    <t xml:space="preserve">AUTO-04</t>
  </si>
  <si>
    <r>
      <rPr>
        <sz val="10"/>
        <rFont val="Arial"/>
        <family val="0"/>
        <charset val="1"/>
      </rPr>
      <t xml:space="preserve">ksic-parent-map.json</t>
    </r>
    <r>
      <rPr>
        <sz val="10"/>
        <rFont val="Noto Sans CJK SC"/>
        <family val="2"/>
      </rPr>
      <t xml:space="preserve">이 </t>
    </r>
    <r>
      <rPr>
        <sz val="10"/>
        <rFont val="Arial"/>
        <family val="0"/>
        <charset val="1"/>
      </rPr>
      <t xml:space="preserve">ksic-flat.csv </t>
    </r>
    <r>
      <rPr>
        <sz val="10"/>
        <rFont val="Noto Sans CJK SC"/>
        <family val="2"/>
      </rPr>
      <t xml:space="preserve">대비 최신인지</t>
    </r>
  </si>
  <si>
    <t xml:space="preserve">.github/workflows/check-ksic-parent-map-freshness.yml</t>
  </si>
  <si>
    <t xml:space="preserve">AUTO-05</t>
  </si>
  <si>
    <r>
      <rPr>
        <sz val="10"/>
        <rFont val="Arial"/>
        <family val="0"/>
        <charset val="1"/>
      </rPr>
      <t xml:space="preserve">SP</t>
    </r>
    <r>
      <rPr>
        <sz val="10"/>
        <rFont val="Noto Sans CJK SC"/>
        <family val="2"/>
      </rPr>
      <t xml:space="preserve">가 다른 파일에 통째로 복사</t>
    </r>
    <r>
      <rPr>
        <sz val="10"/>
        <rFont val="Arial"/>
        <family val="0"/>
        <charset val="1"/>
      </rPr>
      <t xml:space="preserve">(embedded)</t>
    </r>
    <r>
      <rPr>
        <sz val="10"/>
        <rFont val="Noto Sans CJK SC"/>
        <family val="2"/>
      </rPr>
      <t xml:space="preserve">돼 있지 않은지</t>
    </r>
  </si>
  <si>
    <t xml:space="preserve">.github/workflows/check-no-embedded-sp.yml</t>
  </si>
  <si>
    <t xml:space="preserve">AUTO-06</t>
  </si>
  <si>
    <r>
      <rPr>
        <sz val="10"/>
        <rFont val="Arial"/>
        <family val="0"/>
        <charset val="1"/>
      </rPr>
      <t xml:space="preserve">SP-TREE-REGISTRY </t>
    </r>
    <r>
      <rPr>
        <sz val="10"/>
        <rFont val="Noto Sans CJK SC"/>
        <family val="2"/>
      </rPr>
      <t xml:space="preserve">준수 — 하드코딩 </t>
    </r>
    <r>
      <rPr>
        <sz val="10"/>
        <rFont val="Arial"/>
        <family val="0"/>
        <charset val="1"/>
      </rPr>
      <t xml:space="preserve">SP </t>
    </r>
    <r>
      <rPr>
        <sz val="10"/>
        <rFont val="Noto Sans CJK SC"/>
        <family val="2"/>
      </rPr>
      <t xml:space="preserve">참조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미선언 상속 금지</t>
    </r>
  </si>
  <si>
    <t xml:space="preserve">.github/workflows/check-no-hardcoded-sp-refs.yml</t>
  </si>
  <si>
    <r>
      <rPr>
        <sz val="10"/>
        <rFont val="Arial"/>
        <family val="0"/>
        <charset val="1"/>
      </rPr>
      <t xml:space="preserve">SP </t>
    </r>
    <r>
      <rPr>
        <sz val="10"/>
        <rFont val="Noto Sans CJK SC"/>
        <family val="2"/>
      </rPr>
      <t xml:space="preserve">트리 거버넌스 핵심 가드</t>
    </r>
  </si>
  <si>
    <t xml:space="preserve">AUTO-07</t>
  </si>
  <si>
    <t xml:space="preserve">라우팅</t>
  </si>
  <si>
    <r>
      <rPr>
        <sz val="10"/>
        <rFont val="Noto Sans CJK SC"/>
        <family val="2"/>
      </rPr>
      <t xml:space="preserve">라우팅 회귀 자동 게이트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과거 라이브 결과 대비 정확도 하락 감지</t>
    </r>
    <r>
      <rPr>
        <sz val="10"/>
        <rFont val="Arial"/>
        <family val="0"/>
        <charset val="1"/>
      </rPr>
      <t xml:space="preserve">)</t>
    </r>
  </si>
  <si>
    <t xml:space="preserve">.github/workflows/check-routing-regression.yml + check_routing_regression_threshold.py</t>
  </si>
  <si>
    <r>
      <rPr>
        <sz val="10"/>
        <rFont val="Arial"/>
        <family val="0"/>
        <charset val="1"/>
      </rPr>
      <t xml:space="preserve">CI green(</t>
    </r>
    <r>
      <rPr>
        <sz val="10"/>
        <rFont val="Noto Sans CJK SC"/>
        <family val="2"/>
      </rPr>
      <t xml:space="preserve">임계치 이내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</si>
  <si>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PR</t>
    </r>
    <r>
      <rPr>
        <sz val="10"/>
        <rFont val="Noto Sans CJK SC"/>
        <family val="2"/>
      </rPr>
      <t xml:space="preserve">마다 자동 실행</t>
    </r>
  </si>
  <si>
    <t xml:space="preserve">AUTO-08</t>
  </si>
  <si>
    <r>
      <rPr>
        <sz val="10"/>
        <rFont val="Arial"/>
        <family val="0"/>
        <charset val="1"/>
      </rPr>
      <t xml:space="preserve">GWP </t>
    </r>
    <r>
      <rPr>
        <sz val="10"/>
        <rFont val="Noto Sans CJK SC"/>
        <family val="2"/>
      </rPr>
      <t xml:space="preserve">서비스 테이블</t>
    </r>
    <r>
      <rPr>
        <sz val="10"/>
        <rFont val="Arial"/>
        <family val="0"/>
        <charset val="1"/>
      </rPr>
      <t xml:space="preserve">(gwp-registry.js) </t>
    </r>
    <r>
      <rPr>
        <sz val="10"/>
        <rFont val="Noto Sans CJK SC"/>
        <family val="2"/>
      </rPr>
      <t xml:space="preserve">동기화</t>
    </r>
  </si>
  <si>
    <t xml:space="preserve">.github/workflows/check-service-table-sync.yml</t>
  </si>
  <si>
    <t xml:space="preserve">AUTO-09</t>
  </si>
  <si>
    <r>
      <rPr>
        <sz val="10"/>
        <rFont val="Arial"/>
        <family val="0"/>
        <charset val="1"/>
      </rPr>
      <t xml:space="preserve">SP </t>
    </r>
    <r>
      <rPr>
        <sz val="10"/>
        <rFont val="Noto Sans CJK SC"/>
        <family val="2"/>
      </rPr>
      <t xml:space="preserve">상속 관계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체인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무결성</t>
    </r>
  </si>
  <si>
    <t xml:space="preserve">.github/workflows/check-sp-inheritance.yml</t>
  </si>
  <si>
    <t xml:space="preserve">AUTO-10</t>
  </si>
  <si>
    <r>
      <rPr>
        <sz val="10"/>
        <rFont val="Arial"/>
        <family val="0"/>
        <charset val="1"/>
      </rPr>
      <t xml:space="preserve">SP</t>
    </r>
    <r>
      <rPr>
        <sz val="10"/>
        <rFont val="Noto Sans CJK SC"/>
        <family val="2"/>
      </rPr>
      <t xml:space="preserve">에 대한 참조가 오래돼 깨진</t>
    </r>
    <r>
      <rPr>
        <sz val="10"/>
        <rFont val="Arial"/>
        <family val="0"/>
        <charset val="1"/>
      </rPr>
      <t xml:space="preserve">(stale) </t>
    </r>
    <r>
      <rPr>
        <sz val="10"/>
        <rFont val="Noto Sans CJK SC"/>
        <family val="2"/>
      </rPr>
      <t xml:space="preserve">곳이 없는지</t>
    </r>
  </si>
  <si>
    <t xml:space="preserve">.github/workflows/check-stale-refs.yml</t>
  </si>
  <si>
    <t xml:space="preserve">AUTO-11</t>
  </si>
  <si>
    <t xml:space="preserve">관제탑원칙</t>
  </si>
  <si>
    <r>
      <rPr>
        <sz val="10"/>
        <rFont val="Arial"/>
        <family val="0"/>
        <charset val="1"/>
      </rPr>
      <t xml:space="preserve">UNIVERSAL </t>
    </r>
    <r>
      <rPr>
        <sz val="10"/>
        <rFont val="Noto Sans CJK SC"/>
        <family val="2"/>
      </rPr>
      <t xml:space="preserve">레이어</t>
    </r>
    <r>
      <rPr>
        <sz val="10"/>
        <rFont val="Arial"/>
        <family val="0"/>
        <charset val="1"/>
      </rPr>
      <t xml:space="preserve">(UNIVERSAL-INTEGRITY </t>
    </r>
    <r>
      <rPr>
        <sz val="10"/>
        <rFont val="Noto Sans CJK SC"/>
        <family val="2"/>
      </rPr>
      <t xml:space="preserve">등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가 모든 </t>
    </r>
    <r>
      <rPr>
        <sz val="10"/>
        <rFont val="Arial"/>
        <family val="0"/>
        <charset val="1"/>
      </rPr>
      <t xml:space="preserve">SP </t>
    </r>
    <r>
      <rPr>
        <sz val="10"/>
        <rFont val="Noto Sans CJK SC"/>
        <family val="2"/>
      </rPr>
      <t xml:space="preserve">조립 경로에 커버되는지</t>
    </r>
  </si>
  <si>
    <t xml:space="preserve">.github/workflows/check-universal-layers-coverage.yml</t>
  </si>
  <si>
    <t xml:space="preserve">관제탑 원칙과 가장 직접 연관</t>
  </si>
  <si>
    <t xml:space="preserve">AUTO-12</t>
  </si>
  <si>
    <t xml:space="preserve">위성저장소</t>
  </si>
  <si>
    <r>
      <rPr>
        <sz val="10"/>
        <rFont val="Arial"/>
        <family val="0"/>
        <charset val="1"/>
      </rPr>
      <t xml:space="preserve">gopang-wallet.js</t>
    </r>
    <r>
      <rPr>
        <sz val="10"/>
        <rFont val="Noto Sans CJK SC"/>
        <family val="2"/>
      </rPr>
      <t xml:space="preserve">가 </t>
    </r>
    <r>
      <rPr>
        <sz val="10"/>
        <rFont val="Arial"/>
        <family val="0"/>
        <charset val="1"/>
      </rPr>
      <t xml:space="preserve">18+ </t>
    </r>
    <r>
      <rPr>
        <sz val="10"/>
        <rFont val="Noto Sans CJK SC"/>
        <family val="2"/>
      </rPr>
      <t xml:space="preserve">위성 저장소 전체에서 동기화돼 있는지</t>
    </r>
  </si>
  <si>
    <t xml:space="preserve">.github/workflows/check-wallet-sync.yml</t>
  </si>
  <si>
    <r>
      <rPr>
        <sz val="10"/>
        <rFont val="Noto Sans CJK SC"/>
        <family val="2"/>
      </rPr>
      <t xml:space="preserve">과거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회 </t>
    </r>
    <r>
      <rPr>
        <sz val="10"/>
        <rFont val="Arial"/>
        <family val="0"/>
        <charset val="1"/>
      </rPr>
      <t xml:space="preserve">drift </t>
    </r>
    <r>
      <rPr>
        <sz val="10"/>
        <rFont val="Noto Sans CJK SC"/>
        <family val="2"/>
      </rPr>
      <t xml:space="preserve">이력</t>
    </r>
  </si>
  <si>
    <t xml:space="preserve">AUTO-13</t>
  </si>
  <si>
    <t xml:space="preserve">인프라안전</t>
  </si>
  <si>
    <r>
      <rPr>
        <sz val="10"/>
        <rFont val="Arial"/>
        <family val="0"/>
        <charset val="1"/>
      </rPr>
      <t xml:space="preserve">worker.js </t>
    </r>
    <r>
      <rPr>
        <sz val="10"/>
        <rFont val="Noto Sans CJK SC"/>
        <family val="2"/>
      </rPr>
      <t xml:space="preserve">대량삭제</t>
    </r>
    <r>
      <rPr>
        <sz val="10"/>
        <rFont val="Arial"/>
        <family val="0"/>
        <charset val="1"/>
      </rPr>
      <t xml:space="preserve">(mass-deletion) </t>
    </r>
    <r>
      <rPr>
        <sz val="10"/>
        <rFont val="Noto Sans CJK SC"/>
        <family val="2"/>
      </rPr>
      <t xml:space="preserve">탐지</t>
    </r>
  </si>
  <si>
    <t xml:space="preserve">.github/workflows/check-worker-mass-deletion.yml</t>
  </si>
  <si>
    <r>
      <rPr>
        <sz val="10"/>
        <rFont val="Noto Sans CJK SC"/>
        <family val="2"/>
      </rPr>
      <t xml:space="preserve">과거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회 실제 사고</t>
    </r>
    <r>
      <rPr>
        <sz val="10"/>
        <rFont val="Arial"/>
        <family val="0"/>
        <charset val="1"/>
      </rPr>
      <t xml:space="preserve">(436e508 </t>
    </r>
    <r>
      <rPr>
        <sz val="10"/>
        <rFont val="Noto Sans CJK SC"/>
        <family val="2"/>
      </rPr>
      <t xml:space="preserve">등</t>
    </r>
    <r>
      <rPr>
        <sz val="10"/>
        <rFont val="Arial"/>
        <family val="0"/>
        <charset val="1"/>
      </rPr>
      <t xml:space="preserve">)</t>
    </r>
  </si>
  <si>
    <t xml:space="preserve">AUTO-14</t>
  </si>
  <si>
    <t xml:space="preserve">배포</t>
  </si>
  <si>
    <r>
      <rPr>
        <sz val="10"/>
        <rFont val="Arial"/>
        <family val="0"/>
        <charset val="1"/>
      </rPr>
      <t xml:space="preserve">PocketBase hooks </t>
    </r>
    <r>
      <rPr>
        <sz val="10"/>
        <rFont val="Noto Sans CJK SC"/>
        <family val="2"/>
      </rPr>
      <t xml:space="preserve">배포 게이트</t>
    </r>
  </si>
  <si>
    <t xml:space="preserve">.github/workflows/deploy-pb-hooks.yml</t>
  </si>
  <si>
    <t xml:space="preserve">배포 성공</t>
  </si>
  <si>
    <t xml:space="preserve">AUTO-15</t>
  </si>
  <si>
    <r>
      <rPr>
        <sz val="10"/>
        <rFont val="Arial"/>
        <family val="0"/>
        <charset val="1"/>
      </rPr>
      <t xml:space="preserve">PocketBase migrations </t>
    </r>
    <r>
      <rPr>
        <sz val="10"/>
        <rFont val="Noto Sans CJK SC"/>
        <family val="2"/>
      </rPr>
      <t xml:space="preserve">배포 게이트</t>
    </r>
  </si>
  <si>
    <t xml:space="preserve">.github/workflows/deploy-pb-migrations.yml</t>
  </si>
  <si>
    <t xml:space="preserve">AUTO-16</t>
  </si>
  <si>
    <r>
      <rPr>
        <sz val="10"/>
        <rFont val="Arial"/>
        <family val="0"/>
        <charset val="1"/>
      </rPr>
      <t xml:space="preserve">worker.js(hondi-proxy) </t>
    </r>
    <r>
      <rPr>
        <sz val="10"/>
        <rFont val="Noto Sans CJK SC"/>
        <family val="2"/>
      </rPr>
      <t xml:space="preserve">배포 게이트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브랜치 보호 대상</t>
    </r>
    <r>
      <rPr>
        <sz val="10"/>
        <rFont val="Arial"/>
        <family val="0"/>
        <charset val="1"/>
      </rPr>
      <t xml:space="preserve">)</t>
    </r>
  </si>
  <si>
    <t xml:space="preserve">.github/workflows/deploy-worker.yml</t>
  </si>
  <si>
    <r>
      <rPr>
        <sz val="10"/>
        <rFont val="Noto Sans CJK SC"/>
        <family val="2"/>
      </rPr>
      <t xml:space="preserve">배포 성공 </t>
    </r>
    <r>
      <rPr>
        <sz val="10"/>
        <rFont val="Arial"/>
        <family val="0"/>
        <charset val="1"/>
      </rPr>
      <t xml:space="preserve">+ auto-merge</t>
    </r>
  </si>
  <si>
    <r>
      <rPr>
        <sz val="10"/>
        <rFont val="Noto Sans CJK SC"/>
        <family val="2"/>
      </rPr>
      <t xml:space="preserve">직접 </t>
    </r>
    <r>
      <rPr>
        <sz val="10"/>
        <rFont val="Arial"/>
        <family val="0"/>
        <charset val="1"/>
      </rPr>
      <t xml:space="preserve">push </t>
    </r>
    <r>
      <rPr>
        <sz val="10"/>
        <rFont val="Noto Sans CJK SC"/>
        <family val="2"/>
      </rPr>
      <t xml:space="preserve">금지 대상</t>
    </r>
  </si>
  <si>
    <t xml:space="preserve">AUTO-17</t>
  </si>
  <si>
    <r>
      <rPr>
        <sz val="10"/>
        <rFont val="Arial"/>
        <family val="0"/>
        <charset val="1"/>
      </rPr>
      <t xml:space="preserve">gov-tree </t>
    </r>
    <r>
      <rPr>
        <sz val="10"/>
        <rFont val="Noto Sans CJK SC"/>
        <family val="2"/>
      </rPr>
      <t xml:space="preserve">관제탑 원칙 라이브 스모크테스트</t>
    </r>
  </si>
  <si>
    <t xml:space="preserve">.github/workflows/live-smoketest-control-tower-govtree.yml</t>
  </si>
  <si>
    <r>
      <rPr>
        <sz val="10"/>
        <rFont val="Arial"/>
        <family val="0"/>
        <charset val="1"/>
      </rPr>
      <t xml:space="preserve">LIVE-PASS </t>
    </r>
    <r>
      <rPr>
        <sz val="10"/>
        <rFont val="Noto Sans CJK SC"/>
        <family val="2"/>
      </rPr>
      <t xml:space="preserve">비율 확인</t>
    </r>
  </si>
  <si>
    <t xml:space="preserve">results/control-tower/</t>
  </si>
  <si>
    <t xml:space="preserve">AUTO-18</t>
  </si>
  <si>
    <r>
      <rPr>
        <sz val="10"/>
        <rFont val="Arial"/>
        <family val="0"/>
        <charset val="1"/>
      </rPr>
      <t xml:space="preserve">professor </t>
    </r>
    <r>
      <rPr>
        <sz val="10"/>
        <rFont val="Noto Sans CJK SC"/>
        <family val="2"/>
      </rPr>
      <t xml:space="preserve">페르소나 관제탑 원칙 라이브 스모크테스트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임의 선정</t>
    </r>
    <r>
      <rPr>
        <sz val="10"/>
        <rFont val="Arial"/>
        <family val="0"/>
        <charset val="1"/>
      </rPr>
      <t xml:space="preserve">)</t>
    </r>
  </si>
  <si>
    <t xml:space="preserve">.github/workflows/live-smoketest-control-tower-professor.yml</t>
  </si>
  <si>
    <r>
      <rPr>
        <sz val="10"/>
        <rFont val="Arial"/>
        <family val="0"/>
        <charset val="1"/>
      </rPr>
      <t xml:space="preserve">2026-08-09 </t>
    </r>
    <r>
      <rPr>
        <sz val="10"/>
        <rFont val="Noto Sans CJK SC"/>
        <family val="2"/>
      </rPr>
      <t xml:space="preserve">지시 사항 — 하네스 자체가 프로덕션과 어긋나 있었던 이력</t>
    </r>
    <r>
      <rPr>
        <sz val="10"/>
        <rFont val="Arial"/>
        <family val="0"/>
        <charset val="1"/>
      </rPr>
      <t xml:space="preserve">(NEXT_SESSION_HANDOFF_20260809_v2.md §2-1) </t>
    </r>
    <r>
      <rPr>
        <sz val="10"/>
        <rFont val="Noto Sans CJK SC"/>
        <family val="2"/>
      </rPr>
      <t xml:space="preserve">재확인 필요</t>
    </r>
  </si>
  <si>
    <t xml:space="preserve">AUTO-19</t>
  </si>
  <si>
    <r>
      <rPr>
        <sz val="10"/>
        <rFont val="Arial"/>
        <family val="0"/>
        <charset val="1"/>
      </rPr>
      <t xml:space="preserve">EXPERT</t>
    </r>
    <r>
      <rPr>
        <sz val="10"/>
        <rFont val="Noto Sans CJK SC"/>
        <family val="2"/>
      </rPr>
      <t xml:space="preserve">페르소나</t>
    </r>
  </si>
  <si>
    <r>
      <rPr>
        <sz val="10"/>
        <rFont val="Arial"/>
        <family val="0"/>
        <charset val="1"/>
      </rPr>
      <t xml:space="preserve">EXPERT </t>
    </r>
    <r>
      <rPr>
        <sz val="10"/>
        <rFont val="Noto Sans CJK SC"/>
        <family val="2"/>
      </rPr>
      <t xml:space="preserve">페르소나 </t>
    </r>
    <r>
      <rPr>
        <sz val="10"/>
        <rFont val="Arial"/>
        <family val="0"/>
        <charset val="1"/>
      </rPr>
      <t xml:space="preserve">62</t>
    </r>
    <r>
      <rPr>
        <sz val="10"/>
        <rFont val="Noto Sans CJK SC"/>
        <family val="2"/>
      </rPr>
      <t xml:space="preserve">개 라이브 스모크테스트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라우팅 후 실제 행동 검증</t>
    </r>
    <r>
      <rPr>
        <sz val="10"/>
        <rFont val="Arial"/>
        <family val="0"/>
        <charset val="1"/>
      </rPr>
      <t xml:space="preserve">)</t>
    </r>
  </si>
  <si>
    <t xml:space="preserve">.github/workflows/live-smoketest-expert-persona.yml + expert_persona_smoketest.py</t>
  </si>
  <si>
    <t xml:space="preserve">AUTO-20</t>
  </si>
  <si>
    <t xml:space="preserve">gov-tree</t>
  </si>
  <si>
    <r>
      <rPr>
        <sz val="10"/>
        <rFont val="Arial"/>
        <family val="0"/>
        <charset val="1"/>
      </rPr>
      <t xml:space="preserve">K12 </t>
    </r>
    <r>
      <rPr>
        <sz val="10"/>
        <rFont val="Noto Sans CJK SC"/>
        <family val="2"/>
      </rPr>
      <t xml:space="preserve">과목 매핑 라이브 스모크테스트</t>
    </r>
  </si>
  <si>
    <t xml:space="preserve">.github/workflows/live-smoketest-k12-subject-mapping.yml</t>
  </si>
  <si>
    <t xml:space="preserve">AUTO-21</t>
  </si>
  <si>
    <t xml:space="preserve">profile-assistant</t>
  </si>
  <si>
    <r>
      <rPr>
        <sz val="10"/>
        <rFont val="Arial"/>
        <family val="0"/>
        <charset val="1"/>
      </rPr>
      <t xml:space="preserve">profile-assistant 6-STEP </t>
    </r>
    <r>
      <rPr>
        <sz val="10"/>
        <rFont val="Noto Sans CJK SC"/>
        <family val="2"/>
      </rPr>
      <t xml:space="preserve">멀티턴 라이브 스모크테스트</t>
    </r>
    <r>
      <rPr>
        <sz val="10"/>
        <rFont val="Arial"/>
        <family val="0"/>
        <charset val="1"/>
      </rPr>
      <t xml:space="preserve">(300</t>
    </r>
    <r>
      <rPr>
        <sz val="10"/>
        <rFont val="Noto Sans CJK SC"/>
        <family val="2"/>
      </rPr>
      <t xml:space="preserve">건</t>
    </r>
    <r>
      <rPr>
        <sz val="10"/>
        <rFont val="Arial"/>
        <family val="0"/>
        <charset val="1"/>
      </rPr>
      <t xml:space="preserve">)</t>
    </r>
  </si>
  <si>
    <t xml:space="preserve">.github/workflows/live-smoketest-profile-assistant.yml + profile_assistant_smoketest.py</t>
  </si>
  <si>
    <t xml:space="preserve">results/profile-assistant/</t>
  </si>
  <si>
    <t xml:space="preserve">AUTO-22</t>
  </si>
  <si>
    <r>
      <rPr>
        <sz val="10"/>
        <rFont val="Arial"/>
        <family val="0"/>
        <charset val="1"/>
      </rPr>
      <t xml:space="preserve">AC-PRO-CORE </t>
    </r>
    <r>
      <rPr>
        <sz val="10"/>
        <rFont val="Noto Sans CJK SC"/>
        <family val="2"/>
      </rPr>
      <t xml:space="preserve">라이브 라우팅 스모크테스트</t>
    </r>
    <r>
      <rPr>
        <sz val="10"/>
        <rFont val="Arial"/>
        <family val="0"/>
        <charset val="1"/>
      </rPr>
      <t xml:space="preserve">(300 </t>
    </r>
    <r>
      <rPr>
        <sz val="10"/>
        <rFont val="Noto Sans CJK SC"/>
        <family val="2"/>
      </rPr>
      <t xml:space="preserve">시나리오</t>
    </r>
    <r>
      <rPr>
        <sz val="10"/>
        <rFont val="Arial"/>
        <family val="0"/>
        <charset val="1"/>
      </rPr>
      <t xml:space="preserve">, DeepSeek)</t>
    </r>
  </si>
  <si>
    <t xml:space="preserve">.github/workflows/live-smoketest.yml + live_smoketest.py</t>
  </si>
  <si>
    <t xml:space="preserve">가장 핵심적인 회귀 게이트</t>
  </si>
  <si>
    <t xml:space="preserve">AUTO-23</t>
  </si>
  <si>
    <t xml:space="preserve">매니페스트</t>
  </si>
  <si>
    <r>
      <rPr>
        <sz val="10"/>
        <rFont val="Arial"/>
        <family val="0"/>
        <charset val="1"/>
      </rPr>
      <t xml:space="preserve">manifest.json/</t>
    </r>
    <r>
      <rPr>
        <sz val="10"/>
        <rFont val="Noto Sans CJK SC"/>
        <family val="2"/>
      </rPr>
      <t xml:space="preserve">서비스 매니페스트 무결성</t>
    </r>
  </si>
  <si>
    <t xml:space="preserve">.github/workflows/manifest.yml</t>
  </si>
  <si>
    <t xml:space="preserve">AUTO-24</t>
  </si>
  <si>
    <t xml:space="preserve">인프라</t>
  </si>
  <si>
    <r>
      <rPr>
        <sz val="10"/>
        <rFont val="Arial"/>
        <family val="0"/>
        <charset val="1"/>
      </rPr>
      <t xml:space="preserve">gopang-wallet.js CDN </t>
    </r>
    <r>
      <rPr>
        <sz val="10"/>
        <rFont val="Noto Sans CJK SC"/>
        <family val="2"/>
      </rPr>
      <t xml:space="preserve">캐시 정리</t>
    </r>
  </si>
  <si>
    <t xml:space="preserve">.github/workflows/purge-wallet-cdn.yml</t>
  </si>
  <si>
    <t xml:space="preserve">정리 성공</t>
  </si>
  <si>
    <t xml:space="preserve">AUTO-25</t>
  </si>
  <si>
    <r>
      <rPr>
        <sz val="10"/>
        <rFont val="Arial"/>
        <family val="0"/>
        <charset val="1"/>
      </rPr>
      <t xml:space="preserve">SP</t>
    </r>
    <r>
      <rPr>
        <sz val="10"/>
        <rFont val="Noto Sans CJK SC"/>
        <family val="2"/>
      </rPr>
      <t xml:space="preserve">운영</t>
    </r>
  </si>
  <si>
    <r>
      <rPr>
        <sz val="10"/>
        <rFont val="Arial"/>
        <family val="0"/>
        <charset val="1"/>
      </rPr>
      <t xml:space="preserve">SP </t>
    </r>
    <r>
      <rPr>
        <sz val="10"/>
        <rFont val="Noto Sans CJK SC"/>
        <family val="2"/>
      </rPr>
      <t xml:space="preserve">정기 갱신 스케줄러</t>
    </r>
  </si>
  <si>
    <t xml:space="preserve">.github/workflows/sp-refresh-scheduler.yml</t>
  </si>
  <si>
    <t xml:space="preserve">정상 실행</t>
  </si>
  <si>
    <t xml:space="preserve">AUTO-26</t>
  </si>
  <si>
    <r>
      <rPr>
        <sz val="10"/>
        <rFont val="Arial"/>
        <family val="0"/>
        <charset val="1"/>
      </rPr>
      <t xml:space="preserve">SP-TREE-GUARDIAN </t>
    </r>
    <r>
      <rPr>
        <sz val="10"/>
        <rFont val="Noto Sans CJK SC"/>
        <family val="2"/>
      </rPr>
      <t xml:space="preserve">확률적 주간 감사</t>
    </r>
  </si>
  <si>
    <t xml:space="preserve">.github/workflows/sp-tree-guardian.yml</t>
  </si>
  <si>
    <t xml:space="preserve">감사 리포트 이상 없음</t>
  </si>
  <si>
    <t xml:space="preserve">SP-TREE-GUARDIAN_v1_0.md</t>
  </si>
  <si>
    <t xml:space="preserve">AUTO-27</t>
  </si>
  <si>
    <r>
      <rPr>
        <sz val="10"/>
        <rFont val="Arial"/>
        <family val="0"/>
        <charset val="1"/>
      </rPr>
      <t xml:space="preserve">subject-gate </t>
    </r>
    <r>
      <rPr>
        <sz val="10"/>
        <rFont val="Noto Sans CJK SC"/>
        <family val="2"/>
      </rPr>
      <t xml:space="preserve">계층형 라이브 스모크테스트</t>
    </r>
  </si>
  <si>
    <t xml:space="preserve">.github/workflows/subject-gate-hierarchical-live-smoketest.yml</t>
  </si>
  <si>
    <t xml:space="preserve">AUTO-28</t>
  </si>
  <si>
    <r>
      <rPr>
        <sz val="10"/>
        <rFont val="Arial"/>
        <family val="0"/>
        <charset val="1"/>
      </rPr>
      <t xml:space="preserve">subject-gate </t>
    </r>
    <r>
      <rPr>
        <sz val="10"/>
        <rFont val="Noto Sans CJK SC"/>
        <family val="2"/>
      </rPr>
      <t xml:space="preserve">라이브 스모크테스트</t>
    </r>
  </si>
  <si>
    <t xml:space="preserve">.github/workflows/subject-gate-live-smoketest.yml + subject_gate_live_smoketest.py</t>
  </si>
  <si>
    <r>
      <rPr>
        <sz val="10"/>
        <rFont val="Arial"/>
        <family val="0"/>
        <charset val="1"/>
      </rPr>
      <t xml:space="preserve">max_tokens </t>
    </r>
    <r>
      <rPr>
        <sz val="10"/>
        <rFont val="Noto Sans CJK SC"/>
        <family val="2"/>
      </rPr>
      <t xml:space="preserve">빈 응답 결함 수정 이력</t>
    </r>
    <r>
      <rPr>
        <sz val="10"/>
        <rFont val="Arial"/>
        <family val="0"/>
        <charset val="1"/>
      </rPr>
      <t xml:space="preserve">(2026-08-09) — </t>
    </r>
    <r>
      <rPr>
        <sz val="10"/>
        <rFont val="Noto Sans CJK SC"/>
        <family val="2"/>
      </rPr>
      <t xml:space="preserve">회귀 확인</t>
    </r>
  </si>
  <si>
    <t xml:space="preserve">AUTO-29</t>
  </si>
  <si>
    <t xml:space="preserve">운영</t>
  </si>
  <si>
    <r>
      <rPr>
        <sz val="10"/>
        <rFont val="Noto Sans CJK SC"/>
        <family val="2"/>
      </rPr>
      <t xml:space="preserve">사용자 피드백 자동 분류</t>
    </r>
    <r>
      <rPr>
        <sz val="10"/>
        <rFont val="Arial"/>
        <family val="0"/>
        <charset val="1"/>
      </rPr>
      <t xml:space="preserve">(triage)</t>
    </r>
  </si>
  <si>
    <t xml:space="preserve">.github/workflows/triage-user-feedback.yml</t>
  </si>
  <si>
    <t xml:space="preserve">RT-01</t>
  </si>
  <si>
    <r>
      <rPr>
        <sz val="10"/>
        <rFont val="Arial"/>
        <family val="0"/>
        <charset val="1"/>
      </rPr>
      <t xml:space="preserve">GWP </t>
    </r>
    <r>
      <rPr>
        <sz val="10"/>
        <rFont val="Noto Sans CJK SC"/>
        <family val="2"/>
      </rPr>
      <t xml:space="preserve">태그계층</t>
    </r>
  </si>
  <si>
    <r>
      <rPr>
        <sz val="10"/>
        <rFont val="Arial"/>
        <family val="0"/>
        <charset val="1"/>
      </rPr>
      <t xml:space="preserve">gwp-registry.js </t>
    </r>
    <r>
      <rPr>
        <sz val="10"/>
        <rFont val="Noto Sans CJK SC"/>
        <family val="2"/>
      </rPr>
      <t xml:space="preserve">전수 조사 — </t>
    </r>
    <r>
      <rPr>
        <sz val="10"/>
        <rFont val="Arial"/>
        <family val="0"/>
        <charset val="1"/>
      </rPr>
      <t xml:space="preserve">url:null</t>
    </r>
    <r>
      <rPr>
        <sz val="10"/>
        <rFont val="Noto Sans CJK SC"/>
        <family val="2"/>
      </rPr>
      <t xml:space="preserve">인 모든 항목</t>
    </r>
    <r>
      <rPr>
        <sz val="10"/>
        <rFont val="Arial"/>
        <family val="0"/>
        <charset val="1"/>
      </rPr>
      <t xml:space="preserve">(type:tool/inline/switch)</t>
    </r>
    <r>
      <rPr>
        <sz val="10"/>
        <rFont val="Noto Sans CJK SC"/>
        <family val="2"/>
      </rPr>
      <t xml:space="preserve">이 </t>
    </r>
    <r>
      <rPr>
        <sz val="10"/>
        <rFont val="Arial"/>
        <family val="0"/>
        <charset val="1"/>
      </rPr>
      <t xml:space="preserve">_parseAgentTags</t>
    </r>
    <r>
      <rPr>
        <sz val="10"/>
        <rFont val="Noto Sans CJK SC"/>
        <family val="2"/>
      </rPr>
      <t xml:space="preserve">의 구식 </t>
    </r>
    <r>
      <rPr>
        <sz val="10"/>
        <rFont val="Arial"/>
        <family val="0"/>
        <charset val="1"/>
      </rPr>
      <t xml:space="preserve">[GWP:id] </t>
    </r>
    <r>
      <rPr>
        <sz val="10"/>
        <rFont val="Noto Sans CJK SC"/>
        <family val="2"/>
      </rPr>
      <t xml:space="preserve">오출력 시 안전 경로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자동복구 또는 안전 정리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를 갖는지</t>
    </r>
  </si>
  <si>
    <r>
      <rPr>
        <sz val="10"/>
        <rFont val="Noto Sans CJK SC"/>
        <family val="2"/>
      </rPr>
      <t xml:space="preserve">신규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수동</t>
    </r>
  </si>
  <si>
    <r>
      <rPr>
        <sz val="10"/>
        <rFont val="Arial"/>
        <family val="0"/>
        <charset val="1"/>
      </rPr>
      <t xml:space="preserve">gwp-registry.js grep 'url: null' → call-ai.js _parseAgentTags </t>
    </r>
    <r>
      <rPr>
        <sz val="10"/>
        <rFont val="Noto Sans CJK SC"/>
        <family val="2"/>
      </rPr>
      <t xml:space="preserve">각 분기 대조</t>
    </r>
  </si>
  <si>
    <r>
      <rPr>
        <sz val="10"/>
        <rFont val="Arial"/>
        <family val="0"/>
        <charset val="1"/>
      </rPr>
      <t xml:space="preserve">url:null </t>
    </r>
    <r>
      <rPr>
        <sz val="10"/>
        <rFont val="Noto Sans CJK SC"/>
        <family val="2"/>
      </rPr>
      <t xml:space="preserve">항목 전부가 </t>
    </r>
    <r>
      <rPr>
        <sz val="10"/>
        <rFont val="Arial"/>
        <family val="0"/>
        <charset val="1"/>
      </rPr>
      <t xml:space="preserve">switch/tool/inline </t>
    </r>
    <r>
      <rPr>
        <sz val="10"/>
        <rFont val="Noto Sans CJK SC"/>
        <family val="2"/>
      </rPr>
      <t xml:space="preserve">셋 중 하나로 분류되고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분류마다 대응 분기가 존재</t>
    </r>
  </si>
  <si>
    <r>
      <rPr>
        <sz val="10"/>
        <rFont val="Noto Sans CJK SC"/>
        <family val="2"/>
      </rPr>
      <t xml:space="preserve">이번 세션 </t>
    </r>
    <r>
      <rPr>
        <sz val="10"/>
        <rFont val="Arial"/>
        <family val="0"/>
        <charset val="1"/>
      </rPr>
      <t xml:space="preserve">tool-web-search/ksearch </t>
    </r>
    <r>
      <rPr>
        <sz val="10"/>
        <rFont val="Noto Sans CJK SC"/>
        <family val="2"/>
      </rPr>
      <t xml:space="preserve">사각지대 수정의 일반화 — 같은 클래스의 다음 항목이 또 나오기 전에 전수 점검</t>
    </r>
  </si>
  <si>
    <t xml:space="preserve">RT-02</t>
  </si>
  <si>
    <r>
      <rPr>
        <sz val="10"/>
        <rFont val="Noto Sans CJK SC"/>
        <family val="2"/>
      </rPr>
      <t xml:space="preserve">신규 </t>
    </r>
    <r>
      <rPr>
        <sz val="10"/>
        <rFont val="Arial"/>
        <family val="0"/>
        <charset val="1"/>
      </rPr>
      <t xml:space="preserve">GWP </t>
    </r>
    <r>
      <rPr>
        <sz val="10"/>
        <rFont val="Noto Sans CJK SC"/>
        <family val="2"/>
      </rPr>
      <t xml:space="preserve">항목 추가 시 </t>
    </r>
    <r>
      <rPr>
        <sz val="10"/>
        <rFont val="Arial"/>
        <family val="0"/>
        <charset val="1"/>
      </rPr>
      <t xml:space="preserve">url:null</t>
    </r>
    <r>
      <rPr>
        <sz val="10"/>
        <rFont val="Noto Sans CJK SC"/>
        <family val="2"/>
      </rPr>
      <t xml:space="preserve">인데 </t>
    </r>
    <r>
      <rPr>
        <sz val="10"/>
        <rFont val="Arial"/>
        <family val="0"/>
        <charset val="1"/>
      </rPr>
      <t xml:space="preserve">type </t>
    </r>
    <r>
      <rPr>
        <sz val="10"/>
        <rFont val="Noto Sans CJK SC"/>
        <family val="2"/>
      </rPr>
      <t xml:space="preserve">분기가 없으면 </t>
    </r>
    <r>
      <rPr>
        <sz val="10"/>
        <rFont val="Arial"/>
        <family val="0"/>
        <charset val="1"/>
      </rPr>
      <t xml:space="preserve">CI</t>
    </r>
    <r>
      <rPr>
        <sz val="10"/>
        <rFont val="Noto Sans CJK SC"/>
        <family val="2"/>
      </rPr>
      <t xml:space="preserve">가 막아주는 정적 가드가 있는가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현재 없음 — 신규 설계 대상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</si>
  <si>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신규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자동화 필요</t>
    </r>
  </si>
  <si>
    <r>
      <rPr>
        <sz val="10"/>
        <rFont val="Arial"/>
        <family val="0"/>
        <charset val="1"/>
      </rPr>
      <t xml:space="preserve">check-service-table-sync.yml </t>
    </r>
    <r>
      <rPr>
        <sz val="10"/>
        <rFont val="Noto Sans CJK SC"/>
        <family val="2"/>
      </rPr>
      <t xml:space="preserve">확장 검토</t>
    </r>
  </si>
  <si>
    <r>
      <rPr>
        <sz val="10"/>
        <rFont val="Arial"/>
        <family val="0"/>
        <charset val="1"/>
      </rPr>
      <t xml:space="preserve">url:null &amp;&amp; type not in {switch,tool,inline} </t>
    </r>
    <r>
      <rPr>
        <sz val="10"/>
        <rFont val="Noto Sans CJK SC"/>
        <family val="2"/>
      </rPr>
      <t xml:space="preserve">조합이 있으면 </t>
    </r>
    <r>
      <rPr>
        <sz val="10"/>
        <rFont val="Arial"/>
        <family val="0"/>
        <charset val="1"/>
      </rPr>
      <t xml:space="preserve">CI fail</t>
    </r>
  </si>
  <si>
    <r>
      <rPr>
        <sz val="10"/>
        <rFont val="Noto Sans CJK SC"/>
        <family val="2"/>
      </rPr>
      <t xml:space="preserve">이번 사고의 재발 방지용 </t>
    </r>
    <r>
      <rPr>
        <sz val="10"/>
        <rFont val="Arial"/>
        <family val="0"/>
        <charset val="1"/>
      </rPr>
      <t xml:space="preserve">CI </t>
    </r>
    <r>
      <rPr>
        <sz val="10"/>
        <rFont val="Noto Sans CJK SC"/>
        <family val="2"/>
      </rPr>
      <t xml:space="preserve">가드 신설 제안</t>
    </r>
  </si>
  <si>
    <t xml:space="preserve">RT-03</t>
  </si>
  <si>
    <t xml:space="preserve">오케스트레이션</t>
  </si>
  <si>
    <r>
      <rPr>
        <sz val="10"/>
        <rFont val="Arial"/>
        <family val="0"/>
        <charset val="1"/>
      </rPr>
      <t xml:space="preserve">[CALL_KINTENT] </t>
    </r>
    <r>
      <rPr>
        <sz val="10"/>
        <rFont val="Noto Sans CJK SC"/>
        <family val="2"/>
      </rPr>
      <t xml:space="preserve">정상 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콜론</t>
    </r>
    <r>
      <rPr>
        <sz val="10"/>
        <rFont val="Arial"/>
        <family val="0"/>
        <charset val="1"/>
      </rPr>
      <t xml:space="preserve">+query </t>
    </r>
    <r>
      <rPr>
        <sz val="10"/>
        <rFont val="Noto Sans CJK SC"/>
        <family val="2"/>
      </rPr>
      <t xml:space="preserve">형식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처리 재확인 — 회귀 없는지</t>
    </r>
  </si>
  <si>
    <r>
      <rPr>
        <sz val="10"/>
        <rFont val="Arial"/>
        <family val="0"/>
        <charset val="1"/>
      </rPr>
      <t xml:space="preserve">call-ai.js:1417 </t>
    </r>
    <r>
      <rPr>
        <sz val="10"/>
        <rFont val="Noto Sans CJK SC"/>
        <family val="2"/>
      </rPr>
      <t xml:space="preserve">부근</t>
    </r>
    <r>
      <rPr>
        <sz val="10"/>
        <rFont val="Arial"/>
        <family val="0"/>
        <charset val="1"/>
      </rPr>
      <t xml:space="preserve">, _handleOrchestrationTags</t>
    </r>
  </si>
  <si>
    <r>
      <rPr>
        <sz val="10"/>
        <rFont val="Arial"/>
        <family val="0"/>
        <charset val="1"/>
      </rPr>
      <t xml:space="preserve">K-Intent</t>
    </r>
    <r>
      <rPr>
        <sz val="10"/>
        <rFont val="Noto Sans CJK SC"/>
        <family val="2"/>
      </rPr>
      <t xml:space="preserve">로 정상 전환</t>
    </r>
    <r>
      <rPr>
        <sz val="10"/>
        <rFont val="Arial"/>
        <family val="0"/>
        <charset val="1"/>
      </rPr>
      <t xml:space="preserve">, history </t>
    </r>
    <r>
      <rPr>
        <sz val="10"/>
        <rFont val="Noto Sans CJK SC"/>
        <family val="2"/>
      </rPr>
      <t xml:space="preserve">초기화 확인</t>
    </r>
  </si>
  <si>
    <t xml:space="preserve">RT-04</t>
  </si>
  <si>
    <r>
      <rPr>
        <sz val="10"/>
        <rFont val="Arial"/>
        <family val="0"/>
        <charset val="1"/>
      </rPr>
      <t xml:space="preserve">[CALL_KINTENT] </t>
    </r>
    <r>
      <rPr>
        <sz val="10"/>
        <rFont val="Noto Sans CJK SC"/>
        <family val="2"/>
      </rPr>
      <t xml:space="preserve">철자 이탈</t>
    </r>
    <r>
      <rPr>
        <sz val="10"/>
        <rFont val="Arial"/>
        <family val="0"/>
        <charset val="1"/>
      </rPr>
      <t xml:space="preserve">('[CALL_KINTENT]'</t>
    </r>
    <r>
      <rPr>
        <sz val="10"/>
        <rFont val="Noto Sans CJK SC"/>
        <family val="2"/>
      </rPr>
      <t xml:space="preserve">만 언급</t>
    </r>
    <r>
      <rPr>
        <sz val="10"/>
        <rFont val="Arial"/>
        <family val="0"/>
        <charset val="1"/>
      </rPr>
      <t xml:space="preserve">, 'CALL_INTENT' </t>
    </r>
    <r>
      <rPr>
        <sz val="10"/>
        <rFont val="Noto Sans CJK SC"/>
        <family val="2"/>
      </rPr>
      <t xml:space="preserve">오탈자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자동복구</t>
    </r>
  </si>
  <si>
    <r>
      <rPr>
        <sz val="10"/>
        <rFont val="Arial"/>
        <family val="0"/>
        <charset val="1"/>
      </rPr>
      <t xml:space="preserve">call-ai.js:1417 </t>
    </r>
    <r>
      <rPr>
        <sz val="10"/>
        <rFont val="Noto Sans CJK SC"/>
        <family val="2"/>
      </rPr>
      <t xml:space="preserve">정규식 </t>
    </r>
    <r>
      <rPr>
        <sz val="10"/>
        <rFont val="Arial"/>
        <family val="0"/>
        <charset val="1"/>
      </rPr>
      <t xml:space="preserve">`/\[CALL_K?INTENT\s*(?::\s*query=([^\]]+))?\]/i`</t>
    </r>
  </si>
  <si>
    <r>
      <rPr>
        <sz val="10"/>
        <rFont val="Arial"/>
        <family val="0"/>
        <charset val="1"/>
      </rPr>
      <t xml:space="preserve">userText</t>
    </r>
    <r>
      <rPr>
        <sz val="10"/>
        <rFont val="Noto Sans CJK SC"/>
        <family val="2"/>
      </rPr>
      <t xml:space="preserve">로 폴백 전환 성공</t>
    </r>
  </si>
  <si>
    <r>
      <rPr>
        <sz val="10"/>
        <rFont val="Arial"/>
        <family val="0"/>
        <charset val="1"/>
      </rPr>
      <t xml:space="preserve">2026-08-06 </t>
    </r>
    <r>
      <rPr>
        <sz val="10"/>
        <rFont val="Noto Sans CJK SC"/>
        <family val="2"/>
      </rPr>
      <t xml:space="preserve">발견된 계열 문제 — 회귀 확인</t>
    </r>
  </si>
  <si>
    <t xml:space="preserve">RT-05</t>
  </si>
  <si>
    <r>
      <rPr>
        <sz val="10"/>
        <rFont val="Arial"/>
        <family val="0"/>
        <charset val="1"/>
      </rPr>
      <t xml:space="preserve">K-Intent → K-Compose → K-Execute → K-Deliver 5</t>
    </r>
    <r>
      <rPr>
        <sz val="10"/>
        <rFont val="Noto Sans CJK SC"/>
        <family val="2"/>
      </rPr>
      <t xml:space="preserve">단계 각 홉 정상 전달</t>
    </r>
  </si>
  <si>
    <r>
      <rPr>
        <sz val="10"/>
        <rFont val="Arial"/>
        <family val="0"/>
        <charset val="1"/>
      </rPr>
      <t xml:space="preserve">docs/5</t>
    </r>
    <r>
      <rPr>
        <sz val="10"/>
        <rFont val="Noto Sans CJK SC"/>
        <family val="2"/>
      </rPr>
      <t xml:space="preserve">단계오케스트레이션</t>
    </r>
    <r>
      <rPr>
        <sz val="10"/>
        <rFont val="Arial"/>
        <family val="0"/>
        <charset val="1"/>
      </rPr>
      <t xml:space="preserve">_100</t>
    </r>
    <r>
      <rPr>
        <sz val="10"/>
        <rFont val="Noto Sans CJK SC"/>
        <family val="2"/>
      </rPr>
      <t xml:space="preserve">건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사고실험</t>
    </r>
    <r>
      <rPr>
        <sz val="10"/>
        <rFont val="Arial"/>
        <family val="0"/>
        <charset val="1"/>
      </rPr>
      <t xml:space="preserve">_2026-07-16.md </t>
    </r>
    <r>
      <rPr>
        <sz val="10"/>
        <rFont val="Noto Sans CJK SC"/>
        <family val="2"/>
      </rPr>
      <t xml:space="preserve">시나리오 재실행</t>
    </r>
  </si>
  <si>
    <r>
      <rPr>
        <sz val="10"/>
        <rFont val="Noto Sans CJK SC"/>
        <family val="2"/>
      </rPr>
      <t xml:space="preserve">각 </t>
    </r>
    <r>
      <rPr>
        <sz val="10"/>
        <rFont val="Arial"/>
        <family val="0"/>
        <charset val="1"/>
      </rPr>
      <t xml:space="preserve">[HANDOFF_TO_*] </t>
    </r>
    <r>
      <rPr>
        <sz val="10"/>
        <rFont val="Noto Sans CJK SC"/>
        <family val="2"/>
      </rPr>
      <t xml:space="preserve">태그가 다음 </t>
    </r>
    <r>
      <rPr>
        <sz val="10"/>
        <rFont val="Arial"/>
        <family val="0"/>
        <charset val="1"/>
      </rPr>
      <t xml:space="preserve">SP</t>
    </r>
    <r>
      <rPr>
        <sz val="10"/>
        <rFont val="Noto Sans CJK SC"/>
        <family val="2"/>
      </rPr>
      <t xml:space="preserve">로 정확히 </t>
    </r>
    <r>
      <rPr>
        <sz val="10"/>
        <rFont val="Arial"/>
        <family val="0"/>
        <charset val="1"/>
      </rPr>
      <t xml:space="preserve">forward</t>
    </r>
  </si>
  <si>
    <t xml:space="preserve">RT-06</t>
  </si>
  <si>
    <r>
      <rPr>
        <sz val="10"/>
        <rFont val="Noto Sans CJK SC"/>
        <family val="2"/>
      </rPr>
      <t xml:space="preserve">각 홉 실패 시 워치독</t>
    </r>
    <r>
      <rPr>
        <sz val="10"/>
        <rFont val="Arial"/>
        <family val="0"/>
        <charset val="1"/>
      </rPr>
      <t xml:space="preserve">(_recoverOrchestrationFailure) </t>
    </r>
    <r>
      <rPr>
        <sz val="10"/>
        <rFont val="Noto Sans CJK SC"/>
        <family val="2"/>
      </rPr>
      <t xml:space="preserve">복구 동작</t>
    </r>
  </si>
  <si>
    <r>
      <rPr>
        <sz val="10"/>
        <rFont val="Arial"/>
        <family val="0"/>
        <charset val="1"/>
      </rPr>
      <t xml:space="preserve">call-ai.js:1136, hopLabel</t>
    </r>
    <r>
      <rPr>
        <sz val="10"/>
        <rFont val="Noto Sans CJK SC"/>
        <family val="2"/>
      </rPr>
      <t xml:space="preserve">별로 인위적 실패 유도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네트워크 차단 등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</si>
  <si>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AC</t>
    </r>
    <r>
      <rPr>
        <sz val="10"/>
        <rFont val="Noto Sans CJK SC"/>
        <family val="2"/>
      </rPr>
      <t xml:space="preserve">로 복귀해 사용자에게 실패를 정직하게 안내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조용히 끊기지 않음</t>
    </r>
    <r>
      <rPr>
        <sz val="10"/>
        <rFont val="Arial"/>
        <family val="0"/>
        <charset val="1"/>
      </rPr>
      <t xml:space="preserve">)</t>
    </r>
  </si>
  <si>
    <t xml:space="preserve">RT-07</t>
  </si>
  <si>
    <r>
      <rPr>
        <sz val="10"/>
        <rFont val="Arial"/>
        <family val="0"/>
        <charset val="1"/>
      </rPr>
      <t xml:space="preserve">kestate/ktelecom/kbank(type:switch) </t>
    </r>
    <r>
      <rPr>
        <sz val="10"/>
        <rFont val="Noto Sans CJK SC"/>
        <family val="2"/>
      </rPr>
      <t xml:space="preserve">자동복구 회귀 — 이번 세션 </t>
    </r>
    <r>
      <rPr>
        <sz val="10"/>
        <rFont val="Arial"/>
        <family val="0"/>
        <charset val="1"/>
      </rPr>
      <t xml:space="preserve">tool/inline </t>
    </r>
    <r>
      <rPr>
        <sz val="10"/>
        <rFont val="Noto Sans CJK SC"/>
        <family val="2"/>
      </rPr>
      <t xml:space="preserve">가드 추가가 기존 </t>
    </r>
    <r>
      <rPr>
        <sz val="10"/>
        <rFont val="Arial"/>
        <family val="0"/>
        <charset val="1"/>
      </rPr>
      <t xml:space="preserve">switch </t>
    </r>
    <r>
      <rPr>
        <sz val="10"/>
        <rFont val="Noto Sans CJK SC"/>
        <family val="2"/>
      </rPr>
      <t xml:space="preserve">분기 동작을 바꾸지 않았는지</t>
    </r>
  </si>
  <si>
    <r>
      <rPr>
        <sz val="10"/>
        <rFont val="Arial"/>
        <family val="0"/>
        <charset val="1"/>
      </rPr>
      <t xml:space="preserve">call-ai.js:4266 </t>
    </r>
    <r>
      <rPr>
        <sz val="10"/>
        <rFont val="Noto Sans CJK SC"/>
        <family val="2"/>
      </rPr>
      <t xml:space="preserve">분기</t>
    </r>
    <r>
      <rPr>
        <sz val="10"/>
        <rFont val="Arial"/>
        <family val="0"/>
        <charset val="1"/>
      </rPr>
      <t xml:space="preserve">, scenarios_repro_gwp_exception_tags_20260807.json </t>
    </r>
    <r>
      <rPr>
        <sz val="10"/>
        <rFont val="Noto Sans CJK SC"/>
        <family val="2"/>
      </rPr>
      <t xml:space="preserve">재실행</t>
    </r>
  </si>
  <si>
    <r>
      <rPr>
        <sz val="10"/>
        <rFont val="Arial"/>
        <family val="0"/>
        <charset val="1"/>
      </rPr>
      <t xml:space="preserve">kestate/ktelecom </t>
    </r>
    <r>
      <rPr>
        <sz val="10"/>
        <rFont val="Noto Sans CJK SC"/>
        <family val="2"/>
      </rPr>
      <t xml:space="preserve">각 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회 반복 </t>
    </r>
    <r>
      <rPr>
        <sz val="10"/>
        <rFont val="Arial"/>
        <family val="0"/>
        <charset val="1"/>
      </rPr>
      <t xml:space="preserve">100% </t>
    </r>
    <r>
      <rPr>
        <sz val="10"/>
        <rFont val="Noto Sans CJK SC"/>
        <family val="2"/>
      </rPr>
      <t xml:space="preserve">자동복구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기존 결과와 동일</t>
    </r>
    <r>
      <rPr>
        <sz val="10"/>
        <rFont val="Arial"/>
        <family val="0"/>
        <charset val="1"/>
      </rPr>
      <t xml:space="preserve">)</t>
    </r>
  </si>
  <si>
    <t xml:space="preserve">이번 세션 패치 직후 최우선 회귀</t>
  </si>
  <si>
    <t xml:space="preserve">RT-08</t>
  </si>
  <si>
    <r>
      <rPr>
        <sz val="10"/>
        <rFont val="Arial"/>
        <family val="0"/>
        <charset val="1"/>
      </rPr>
      <t xml:space="preserve">tool-web-search </t>
    </r>
    <r>
      <rPr>
        <sz val="10"/>
        <rFont val="Noto Sans CJK SC"/>
        <family val="2"/>
      </rPr>
      <t xml:space="preserve">자동복구 — 실배포에서 </t>
    </r>
    <r>
      <rPr>
        <sz val="10"/>
        <rFont val="Arial"/>
        <family val="0"/>
        <charset val="1"/>
      </rPr>
      <t xml:space="preserve">/web-search </t>
    </r>
    <r>
      <rPr>
        <sz val="10"/>
        <rFont val="Noto Sans CJK SC"/>
        <family val="2"/>
      </rPr>
      <t xml:space="preserve">프록시 정상 응답 확인</t>
    </r>
  </si>
  <si>
    <r>
      <rPr>
        <sz val="10"/>
        <rFont val="Arial"/>
        <family val="0"/>
        <charset val="1"/>
      </rPr>
      <t xml:space="preserve">worker.js /web-search </t>
    </r>
    <r>
      <rPr>
        <sz val="10"/>
        <rFont val="Noto Sans CJK SC"/>
        <family val="2"/>
      </rPr>
      <t xml:space="preserve">엔드포인트</t>
    </r>
    <r>
      <rPr>
        <sz val="10"/>
        <rFont val="Arial"/>
        <family val="0"/>
        <charset val="1"/>
      </rPr>
      <t xml:space="preserve">, Serper.dev </t>
    </r>
    <r>
      <rPr>
        <sz val="10"/>
        <rFont val="Noto Sans CJK SC"/>
        <family val="2"/>
      </rPr>
      <t xml:space="preserve">프록시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일일예산 캡</t>
    </r>
  </si>
  <si>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제주대학교에 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연구센터가 있는지</t>
    </r>
    <r>
      <rPr>
        <sz val="10"/>
        <rFont val="Arial"/>
        <family val="0"/>
        <charset val="1"/>
      </rPr>
      <t xml:space="preserve">" </t>
    </r>
    <r>
      <rPr>
        <sz val="10"/>
        <rFont val="Noto Sans CJK SC"/>
        <family val="2"/>
      </rPr>
      <t xml:space="preserve">등 실사 쿼리로 정상 검색 결과 반환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빈 탭 재발 없음</t>
    </r>
    <r>
      <rPr>
        <sz val="10"/>
        <rFont val="Arial"/>
        <family val="0"/>
        <charset val="1"/>
      </rPr>
      <t xml:space="preserve">)</t>
    </r>
  </si>
  <si>
    <t xml:space="preserve">이번 세션 수정의 실사용자 시나리오 재현 — 최우선</t>
  </si>
  <si>
    <t xml:space="preserve">RT-09</t>
  </si>
  <si>
    <r>
      <rPr>
        <sz val="10"/>
        <rFont val="Arial"/>
        <family val="0"/>
        <charset val="1"/>
      </rPr>
      <t xml:space="preserve">ksearch </t>
    </r>
    <r>
      <rPr>
        <sz val="10"/>
        <rFont val="Noto Sans CJK SC"/>
        <family val="2"/>
      </rPr>
      <t xml:space="preserve">자동복구 — </t>
    </r>
    <r>
      <rPr>
        <sz val="10"/>
        <rFont val="Arial"/>
        <family val="0"/>
        <charset val="1"/>
      </rPr>
      <t xml:space="preserve">[CALL_KINTENT] </t>
    </r>
    <r>
      <rPr>
        <sz val="10"/>
        <rFont val="Noto Sans CJK SC"/>
        <family val="2"/>
      </rPr>
      <t xml:space="preserve">재전달 경유가 실제 스트리밍에서 정상 동작하는지</t>
    </r>
    <r>
      <rPr>
        <sz val="10"/>
        <rFont val="Arial"/>
        <family val="0"/>
        <charset val="1"/>
      </rPr>
      <t xml:space="preserve">(history/CFG.system </t>
    </r>
    <r>
      <rPr>
        <sz val="10"/>
        <rFont val="Noto Sans CJK SC"/>
        <family val="2"/>
      </rPr>
      <t xml:space="preserve">전환 타이밍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</si>
  <si>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call-ai.js:4386 </t>
    </r>
    <r>
      <rPr>
        <sz val="10"/>
        <rFont val="Noto Sans CJK SC"/>
        <family val="2"/>
      </rPr>
      <t xml:space="preserve">부근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실배포 </t>
    </r>
    <r>
      <rPr>
        <sz val="10"/>
        <rFont val="Arial"/>
        <family val="0"/>
        <charset val="1"/>
      </rPr>
      <t xml:space="preserve">desktop.html/webapp.html</t>
    </r>
    <r>
      <rPr>
        <sz val="10"/>
        <rFont val="Noto Sans CJK SC"/>
        <family val="2"/>
      </rPr>
      <t xml:space="preserve">에서 </t>
    </r>
    <r>
      <rPr>
        <sz val="10"/>
        <rFont val="Arial"/>
        <family val="0"/>
        <charset val="1"/>
      </rPr>
      <t xml:space="preserve">'~</t>
    </r>
    <r>
      <rPr>
        <sz val="10"/>
        <rFont val="Noto Sans CJK SC"/>
        <family val="2"/>
      </rPr>
      <t xml:space="preserve">찾아줘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류 발화</t>
    </r>
  </si>
  <si>
    <r>
      <rPr>
        <sz val="10"/>
        <rFont val="Arial"/>
        <family val="0"/>
        <charset val="1"/>
      </rPr>
      <t xml:space="preserve">K-Intent</t>
    </r>
    <r>
      <rPr>
        <sz val="10"/>
        <rFont val="Noto Sans CJK SC"/>
        <family val="2"/>
      </rPr>
      <t xml:space="preserve">로 정상 전환되고 대화가 끊기지 않음</t>
    </r>
  </si>
  <si>
    <r>
      <rPr>
        <sz val="10"/>
        <rFont val="Noto Sans CJK SC"/>
        <family val="2"/>
      </rPr>
      <t xml:space="preserve">정적분석만으론 </t>
    </r>
    <r>
      <rPr>
        <sz val="10"/>
        <rFont val="Arial"/>
        <family val="0"/>
        <charset val="1"/>
      </rPr>
      <t xml:space="preserve">100% </t>
    </r>
    <r>
      <rPr>
        <sz val="10"/>
        <rFont val="Noto Sans CJK SC"/>
        <family val="2"/>
      </rPr>
      <t xml:space="preserve">보장 못한 지점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이전 답변에서 명시</t>
    </r>
    <r>
      <rPr>
        <sz val="10"/>
        <rFont val="Arial"/>
        <family val="0"/>
        <charset val="1"/>
      </rPr>
      <t xml:space="preserve">)</t>
    </r>
  </si>
  <si>
    <t xml:space="preserve">RT-10</t>
  </si>
  <si>
    <r>
      <rPr>
        <sz val="10"/>
        <rFont val="Arial"/>
        <family val="0"/>
        <charset val="1"/>
      </rPr>
      <t xml:space="preserve">tool-calculator — </t>
    </r>
    <r>
      <rPr>
        <sz val="10"/>
        <rFont val="Noto Sans CJK SC"/>
        <family val="2"/>
      </rPr>
      <t xml:space="preserve">아직 전용 실행부 없음</t>
    </r>
    <r>
      <rPr>
        <sz val="10"/>
        <rFont val="Arial"/>
        <family val="0"/>
        <charset val="1"/>
      </rPr>
      <t xml:space="preserve">(fn:null </t>
    </r>
    <r>
      <rPr>
        <sz val="10"/>
        <rFont val="Noto Sans CJK SC"/>
        <family val="2"/>
      </rPr>
      <t xml:space="preserve">방치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재현 빈도 확인</t>
    </r>
  </si>
  <si>
    <r>
      <rPr>
        <sz val="10"/>
        <rFont val="Arial"/>
        <family val="0"/>
        <charset val="1"/>
      </rPr>
      <t xml:space="preserve">gwp-registry.js:641 tool-calculator, </t>
    </r>
    <r>
      <rPr>
        <sz val="10"/>
        <rFont val="Noto Sans CJK SC"/>
        <family val="2"/>
      </rPr>
      <t xml:space="preserve">계산 요청 발화 다수 시도</t>
    </r>
  </si>
  <si>
    <r>
      <rPr>
        <sz val="10"/>
        <rFont val="Noto Sans CJK SC"/>
        <family val="2"/>
      </rPr>
      <t xml:space="preserve">빈도가 낮으면 현행 유지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탭 정리만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높으면 </t>
    </r>
    <r>
      <rPr>
        <sz val="10"/>
        <rFont val="Arial"/>
        <family val="0"/>
        <charset val="1"/>
      </rPr>
      <t xml:space="preserve">[CALCULATE:] </t>
    </r>
    <r>
      <rPr>
        <sz val="10"/>
        <rFont val="Noto Sans CJK SC"/>
        <family val="2"/>
      </rPr>
      <t xml:space="preserve">태그 신규 설계 필요 판단 근거 확보</t>
    </r>
  </si>
  <si>
    <t xml:space="preserve">RT-11</t>
  </si>
  <si>
    <r>
      <rPr>
        <sz val="10"/>
        <rFont val="Arial"/>
        <family val="0"/>
        <charset val="1"/>
      </rPr>
      <t xml:space="preserve">GWP</t>
    </r>
    <r>
      <rPr>
        <sz val="10"/>
        <rFont val="Noto Sans CJK SC"/>
        <family val="2"/>
      </rPr>
      <t xml:space="preserve">엔진</t>
    </r>
  </si>
  <si>
    <r>
      <rPr>
        <sz val="10"/>
        <rFont val="Arial"/>
        <family val="0"/>
        <charset val="1"/>
      </rPr>
      <t xml:space="preserve">_gwpLaunch() 2</t>
    </r>
    <r>
      <rPr>
        <sz val="10"/>
        <rFont val="Noto Sans CJK SC"/>
        <family val="2"/>
      </rPr>
      <t xml:space="preserve">차 방어선</t>
    </r>
    <r>
      <rPr>
        <sz val="10"/>
        <rFont val="Arial"/>
        <family val="0"/>
        <charset val="1"/>
      </rPr>
      <t xml:space="preserve">(service.url </t>
    </r>
    <r>
      <rPr>
        <sz val="10"/>
        <rFont val="Noto Sans CJK SC"/>
        <family val="2"/>
      </rPr>
      <t xml:space="preserve">없으면 탭 미오픈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단위 검증</t>
    </r>
  </si>
  <si>
    <r>
      <rPr>
        <sz val="10"/>
        <rFont val="Arial"/>
        <family val="0"/>
        <charset val="1"/>
      </rPr>
      <t xml:space="preserve">engine.js:113-138, url </t>
    </r>
    <r>
      <rPr>
        <sz val="10"/>
        <rFont val="Noto Sans CJK SC"/>
        <family val="2"/>
      </rPr>
      <t xml:space="preserve">없는 임의 서비스 객체로 직접 호출</t>
    </r>
  </si>
  <si>
    <r>
      <rPr>
        <sz val="10"/>
        <rFont val="Arial"/>
        <family val="0"/>
        <charset val="1"/>
      </rPr>
      <t xml:space="preserve">about:blank </t>
    </r>
    <r>
      <rPr>
        <sz val="10"/>
        <rFont val="Noto Sans CJK SC"/>
        <family val="2"/>
      </rPr>
      <t xml:space="preserve">탭이 열리지 않거나 즉시 정리되고 안내 버블 표시</t>
    </r>
  </si>
  <si>
    <t xml:space="preserve">이번 세션 신설 방어 코드</t>
  </si>
  <si>
    <t xml:space="preserve">RT-12</t>
  </si>
  <si>
    <r>
      <rPr>
        <sz val="10"/>
        <rFont val="Noto Sans CJK SC"/>
        <family val="2"/>
      </rPr>
      <t xml:space="preserve">정상 </t>
    </r>
    <r>
      <rPr>
        <sz val="10"/>
        <rFont val="Arial"/>
        <family val="0"/>
        <charset val="1"/>
      </rPr>
      <t xml:space="preserve">GWP </t>
    </r>
    <r>
      <rPr>
        <sz val="10"/>
        <rFont val="Noto Sans CJK SC"/>
        <family val="2"/>
      </rPr>
      <t xml:space="preserve">탭 런치</t>
    </r>
    <r>
      <rPr>
        <sz val="10"/>
        <rFont val="Arial"/>
        <family val="0"/>
        <charset val="1"/>
      </rPr>
      <t xml:space="preserve">(url </t>
    </r>
    <r>
      <rPr>
        <sz val="10"/>
        <rFont val="Noto Sans CJK SC"/>
        <family val="2"/>
      </rPr>
      <t xml:space="preserve">있는 서비스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회귀 —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차 방어선 추가가 정상 경로를 막지 않는지</t>
    </r>
  </si>
  <si>
    <r>
      <rPr>
        <sz val="10"/>
        <rFont val="Arial"/>
        <family val="0"/>
        <charset val="1"/>
      </rPr>
      <t xml:space="preserve">kqna, </t>
    </r>
    <r>
      <rPr>
        <sz val="10"/>
        <rFont val="Noto Sans CJK SC"/>
        <family val="2"/>
      </rPr>
      <t xml:space="preserve">위원회 등 </t>
    </r>
    <r>
      <rPr>
        <sz val="10"/>
        <rFont val="Arial"/>
        <family val="0"/>
        <charset val="1"/>
      </rPr>
      <t xml:space="preserve">url </t>
    </r>
    <r>
      <rPr>
        <sz val="10"/>
        <rFont val="Noto Sans CJK SC"/>
        <family val="2"/>
      </rPr>
      <t xml:space="preserve">있는 </t>
    </r>
    <r>
      <rPr>
        <sz val="10"/>
        <rFont val="Arial"/>
        <family val="0"/>
        <charset val="1"/>
      </rPr>
      <t xml:space="preserve">GWP </t>
    </r>
    <r>
      <rPr>
        <sz val="10"/>
        <rFont val="Noto Sans CJK SC"/>
        <family val="2"/>
      </rPr>
      <t xml:space="preserve">항목으로 정상 새 탭 오픈 시나리오</t>
    </r>
  </si>
  <si>
    <t xml:space="preserve">기존과 동일하게 새 탭 정상 오픈</t>
  </si>
  <si>
    <t xml:space="preserve">RT-13</t>
  </si>
  <si>
    <r>
      <rPr>
        <sz val="10"/>
        <rFont val="Arial"/>
        <family val="0"/>
        <charset val="1"/>
      </rPr>
      <t xml:space="preserve">SEARCH</t>
    </r>
    <r>
      <rPr>
        <sz val="10"/>
        <rFont val="Noto Sans CJK SC"/>
        <family val="2"/>
      </rPr>
      <t xml:space="preserve">태그</t>
    </r>
  </si>
  <si>
    <r>
      <rPr>
        <sz val="10"/>
        <rFont val="Arial"/>
        <family val="0"/>
        <charset val="1"/>
      </rPr>
      <t xml:space="preserve">[SEARCH: query=..., type=user] </t>
    </r>
    <r>
      <rPr>
        <sz val="10"/>
        <rFont val="Noto Sans CJK SC"/>
        <family val="2"/>
      </rPr>
      <t xml:space="preserve">같은 탭 오버레이 </t>
    </r>
    <r>
      <rPr>
        <sz val="10"/>
        <rFont val="Arial"/>
        <family val="0"/>
        <charset val="1"/>
      </rPr>
      <t xml:space="preserve">vs mode=tab </t>
    </r>
    <r>
      <rPr>
        <sz val="10"/>
        <rFont val="Noto Sans CJK SC"/>
        <family val="2"/>
      </rPr>
      <t xml:space="preserve">새 탭 분기</t>
    </r>
  </si>
  <si>
    <r>
      <rPr>
        <sz val="10"/>
        <rFont val="Arial"/>
        <family val="0"/>
        <charset val="1"/>
      </rPr>
      <t xml:space="preserve">call-ai.js:4398 </t>
    </r>
    <r>
      <rPr>
        <sz val="10"/>
        <rFont val="Noto Sans CJK SC"/>
        <family val="2"/>
      </rPr>
      <t xml:space="preserve">부근</t>
    </r>
  </si>
  <si>
    <r>
      <rPr>
        <sz val="10"/>
        <rFont val="Noto Sans CJK SC"/>
        <family val="2"/>
      </rPr>
      <t xml:space="preserve">오버레이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새 탭 각각 의도대로 동작</t>
    </r>
  </si>
  <si>
    <t xml:space="preserve">CT-01</t>
  </si>
  <si>
    <r>
      <rPr>
        <sz val="10"/>
        <rFont val="Arial"/>
        <family val="0"/>
        <charset val="1"/>
      </rPr>
      <t xml:space="preserve">SP</t>
    </r>
    <r>
      <rPr>
        <sz val="10"/>
        <rFont val="Noto Sans CJK SC"/>
        <family val="2"/>
      </rPr>
      <t xml:space="preserve">조립경로</t>
    </r>
  </si>
  <si>
    <r>
      <rPr>
        <sz val="10"/>
        <rFont val="Arial"/>
        <family val="0"/>
        <charset val="1"/>
      </rPr>
      <t xml:space="preserve">SP</t>
    </r>
    <r>
      <rPr>
        <sz val="10"/>
        <rFont val="Noto Sans CJK SC"/>
        <family val="2"/>
      </rPr>
      <t xml:space="preserve">를 조립하는 모든 코드 경로 전수 목록화</t>
    </r>
    <r>
      <rPr>
        <sz val="10"/>
        <rFont val="Arial"/>
        <family val="0"/>
        <charset val="1"/>
      </rPr>
      <t xml:space="preserve">(_composeExpertPrompt, assembleGovSystemPrompt, handleAIChat, webapp.html BYOK </t>
    </r>
    <r>
      <rPr>
        <sz val="10"/>
        <rFont val="Noto Sans CJK SC"/>
        <family val="2"/>
      </rPr>
      <t xml:space="preserve">등</t>
    </r>
    <r>
      <rPr>
        <sz val="10"/>
        <rFont val="Arial"/>
        <family val="0"/>
        <charset val="1"/>
      </rPr>
      <t xml:space="preserve">)</t>
    </r>
  </si>
  <si>
    <t xml:space="preserve">grep -rn 'CONTROL-TOWER-PRINCIPLE\|assembleGovSystemPrompt\|_composeExpertPrompt' src/</t>
  </si>
  <si>
    <r>
      <rPr>
        <sz val="10"/>
        <rFont val="Noto Sans CJK SC"/>
        <family val="2"/>
      </rPr>
      <t xml:space="preserve">발견된 모든 조립 경로 목록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각각 </t>
    </r>
    <r>
      <rPr>
        <sz val="10"/>
        <rFont val="Arial"/>
        <family val="0"/>
        <charset val="1"/>
      </rPr>
      <t xml:space="preserve">CONTROL-TOWER-PRINCIPLE </t>
    </r>
    <r>
      <rPr>
        <sz val="10"/>
        <rFont val="Noto Sans CJK SC"/>
        <family val="2"/>
      </rPr>
      <t xml:space="preserve">포함 여부 표</t>
    </r>
  </si>
  <si>
    <r>
      <rPr>
        <sz val="10"/>
        <rFont val="Noto Sans CJK SC"/>
        <family val="2"/>
      </rPr>
      <t xml:space="preserve">이미 </t>
    </r>
    <r>
      <rPr>
        <sz val="10"/>
        <rFont val="Arial"/>
        <family val="0"/>
        <charset val="1"/>
      </rPr>
      <t xml:space="preserve">handleAIChat </t>
    </r>
    <r>
      <rPr>
        <sz val="10"/>
        <rFont val="Noto Sans CJK SC"/>
        <family val="2"/>
      </rPr>
      <t xml:space="preserve">패스스루</t>
    </r>
    <r>
      <rPr>
        <sz val="10"/>
        <rFont val="Arial"/>
        <family val="0"/>
        <charset val="1"/>
      </rPr>
      <t xml:space="preserve">·webapp.html BYOK 2</t>
    </r>
    <r>
      <rPr>
        <sz val="10"/>
        <rFont val="Noto Sans CJK SC"/>
        <family val="2"/>
      </rPr>
      <t xml:space="preserve">건 발견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수정 이력 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이게 마지막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이라는 보장이 없음</t>
    </r>
  </si>
  <si>
    <t xml:space="preserve">CT-02</t>
  </si>
  <si>
    <r>
      <rPr>
        <sz val="10"/>
        <rFont val="Arial"/>
        <family val="0"/>
        <charset val="1"/>
      </rPr>
      <t xml:space="preserve">handleAIChat(/ai/chat) </t>
    </r>
    <r>
      <rPr>
        <sz val="10"/>
        <rFont val="Noto Sans CJK SC"/>
        <family val="2"/>
      </rPr>
      <t xml:space="preserve">패스스루 수정 회귀 — </t>
    </r>
    <r>
      <rPr>
        <sz val="10"/>
        <rFont val="Arial"/>
        <family val="0"/>
        <charset val="1"/>
      </rPr>
      <t xml:space="preserve">_fetchUniversalLayers() </t>
    </r>
    <r>
      <rPr>
        <sz val="10"/>
        <rFont val="Noto Sans CJK SC"/>
        <family val="2"/>
      </rPr>
      <t xml:space="preserve">주입 유지 확인</t>
    </r>
  </si>
  <si>
    <t xml:space="preserve">src/worker/ai-chat-handler.js</t>
  </si>
  <si>
    <r>
      <rPr>
        <sz val="10"/>
        <rFont val="Arial"/>
        <family val="0"/>
        <charset val="1"/>
      </rPr>
      <t xml:space="preserve">/ai/chat </t>
    </r>
    <r>
      <rPr>
        <sz val="10"/>
        <rFont val="Noto Sans CJK SC"/>
        <family val="2"/>
      </rPr>
      <t xml:space="preserve">경유 응답에도 </t>
    </r>
    <r>
      <rPr>
        <sz val="10"/>
        <rFont val="Arial"/>
        <family val="0"/>
        <charset val="1"/>
      </rPr>
      <t xml:space="preserve">UNIVERSAL </t>
    </r>
    <r>
      <rPr>
        <sz val="10"/>
        <rFont val="Noto Sans CJK SC"/>
        <family val="2"/>
      </rPr>
      <t xml:space="preserve">레이어 포함</t>
    </r>
  </si>
  <si>
    <t xml:space="preserve">이미 수정된 것으로 기록됨 — 회귀만 확인</t>
  </si>
  <si>
    <t xml:space="preserve">CT-03</t>
  </si>
  <si>
    <r>
      <rPr>
        <sz val="10"/>
        <rFont val="Arial"/>
        <family val="0"/>
        <charset val="1"/>
      </rPr>
      <t xml:space="preserve">webapp.html BYOK </t>
    </r>
    <r>
      <rPr>
        <sz val="10"/>
        <rFont val="Noto Sans CJK SC"/>
        <family val="2"/>
      </rPr>
      <t xml:space="preserve">경로 </t>
    </r>
    <r>
      <rPr>
        <sz val="10"/>
        <rFont val="Arial"/>
        <family val="0"/>
        <charset val="1"/>
      </rPr>
      <t xml:space="preserve">CONTROL-TOWER-PRINCIPLE </t>
    </r>
    <r>
      <rPr>
        <sz val="10"/>
        <rFont val="Noto Sans CJK SC"/>
        <family val="2"/>
      </rPr>
      <t xml:space="preserve">패치 회귀</t>
    </r>
  </si>
  <si>
    <r>
      <rPr>
        <sz val="10"/>
        <rFont val="Arial"/>
        <family val="0"/>
        <charset val="1"/>
      </rPr>
      <t xml:space="preserve">webapp.html BYOK </t>
    </r>
    <r>
      <rPr>
        <sz val="10"/>
        <rFont val="Noto Sans CJK SC"/>
        <family val="2"/>
      </rPr>
      <t xml:space="preserve">관련 섹션</t>
    </r>
  </si>
  <si>
    <r>
      <rPr>
        <sz val="10"/>
        <rFont val="Arial"/>
        <family val="0"/>
        <charset val="1"/>
      </rPr>
      <t xml:space="preserve">BYOK </t>
    </r>
    <r>
      <rPr>
        <sz val="10"/>
        <rFont val="Noto Sans CJK SC"/>
        <family val="2"/>
      </rPr>
      <t xml:space="preserve">경로도 관제탑 원칙 포함</t>
    </r>
  </si>
  <si>
    <t xml:space="preserve">CT-04</t>
  </si>
  <si>
    <t xml:space="preserve">테스트하네스</t>
  </si>
  <si>
    <r>
      <rPr>
        <sz val="10"/>
        <rFont val="Arial"/>
        <family val="0"/>
        <charset val="1"/>
      </rPr>
      <t xml:space="preserve">expert_persona_smoketest.py</t>
    </r>
    <r>
      <rPr>
        <sz val="10"/>
        <rFont val="Noto Sans CJK SC"/>
        <family val="2"/>
      </rPr>
      <t xml:space="preserve">의 </t>
    </r>
    <r>
      <rPr>
        <sz val="10"/>
        <rFont val="Arial"/>
        <family val="0"/>
        <charset val="1"/>
      </rPr>
      <t xml:space="preserve">compose_expert_prompt()</t>
    </r>
    <r>
      <rPr>
        <sz val="10"/>
        <rFont val="Noto Sans CJK SC"/>
        <family val="2"/>
      </rPr>
      <t xml:space="preserve">가 프로덕션 </t>
    </r>
    <r>
      <rPr>
        <sz val="10"/>
        <rFont val="Arial"/>
        <family val="0"/>
        <charset val="1"/>
      </rPr>
      <t xml:space="preserve">expert-session.js._composeExpertPrompt()</t>
    </r>
    <r>
      <rPr>
        <sz val="10"/>
        <rFont val="Noto Sans CJK SC"/>
        <family val="2"/>
      </rPr>
      <t xml:space="preserve">와 조립 순서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내용이 일치하는지</t>
    </r>
  </si>
  <si>
    <t xml:space="preserve">tests/live_smoketest/expert_persona_smoketest.py:141 vs src/gopang/ai/expert-session.js</t>
  </si>
  <si>
    <r>
      <rPr>
        <sz val="10"/>
        <rFont val="Noto Sans CJK SC"/>
        <family val="2"/>
      </rPr>
      <t xml:space="preserve">두 구현이 </t>
    </r>
    <r>
      <rPr>
        <sz val="10"/>
        <rFont val="Arial"/>
        <family val="0"/>
        <charset val="1"/>
      </rPr>
      <t xml:space="preserve">UNIVERSAL-INTEGRITY→UNIVERSAL-common→PROFESSIONAL-common→SP_common_guardrails→(</t>
    </r>
    <r>
      <rPr>
        <sz val="10"/>
        <rFont val="Noto Sans CJK SC"/>
        <family val="2"/>
      </rPr>
      <t xml:space="preserve">필요시</t>
    </r>
    <r>
      <rPr>
        <sz val="10"/>
        <rFont val="Arial"/>
        <family val="0"/>
        <charset val="1"/>
      </rPr>
      <t xml:space="preserve">)SP_common_medical_safety→</t>
    </r>
    <r>
      <rPr>
        <sz val="10"/>
        <rFont val="Noto Sans CJK SC"/>
        <family val="2"/>
      </rPr>
      <t xml:space="preserve">개별 </t>
    </r>
    <r>
      <rPr>
        <sz val="10"/>
        <rFont val="Arial"/>
        <family val="0"/>
        <charset val="1"/>
      </rPr>
      <t xml:space="preserve">SP </t>
    </r>
    <r>
      <rPr>
        <sz val="10"/>
        <rFont val="Noto Sans CJK SC"/>
        <family val="2"/>
      </rPr>
      <t xml:space="preserve">순서로 완전히 일치</t>
    </r>
  </si>
  <si>
    <r>
      <rPr>
        <sz val="10"/>
        <rFont val="Arial"/>
        <family val="0"/>
        <charset val="1"/>
      </rPr>
      <t xml:space="preserve">NEXT_SESSION_HANDOFF_20260809_v2.md §2-1</t>
    </r>
    <r>
      <rPr>
        <sz val="10"/>
        <rFont val="Noto Sans CJK SC"/>
        <family val="2"/>
      </rPr>
      <t xml:space="preserve">에서 지적된 하네스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프로덕션 드리프트 — 검증 전 반드시 먼저 고칠 것</t>
    </r>
  </si>
  <si>
    <t xml:space="preserve">CT-05</t>
  </si>
  <si>
    <r>
      <rPr>
        <sz val="10"/>
        <rFont val="Arial"/>
        <family val="0"/>
        <charset val="1"/>
      </rPr>
      <t xml:space="preserve">professor</t>
    </r>
    <r>
      <rPr>
        <sz val="10"/>
        <rFont val="Noto Sans CJK SC"/>
        <family val="2"/>
      </rPr>
      <t xml:space="preserve">페르소나</t>
    </r>
  </si>
  <si>
    <r>
      <rPr>
        <sz val="10"/>
        <rFont val="Arial"/>
        <family val="0"/>
        <charset val="1"/>
      </rPr>
      <t xml:space="preserve">professor 158</t>
    </r>
    <r>
      <rPr>
        <sz val="10"/>
        <rFont val="Noto Sans CJK SC"/>
        <family val="2"/>
      </rPr>
      <t xml:space="preserve">개 리프 중 관제탑 원칙 준수 임의 표본 테스트</t>
    </r>
  </si>
  <si>
    <r>
      <rPr>
        <sz val="10"/>
        <rFont val="Noto Sans CJK SC"/>
        <family val="2"/>
      </rPr>
      <t xml:space="preserve">신규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수동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기존하네스</t>
    </r>
  </si>
  <si>
    <r>
      <rPr>
        <sz val="10"/>
        <rFont val="Arial"/>
        <family val="0"/>
        <charset val="1"/>
      </rPr>
      <t xml:space="preserve">live-smoketest-control-tower-professor.yml (CT-04 </t>
    </r>
    <r>
      <rPr>
        <sz val="10"/>
        <rFont val="Noto Sans CJK SC"/>
        <family val="2"/>
      </rPr>
      <t xml:space="preserve">선행 필요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</si>
  <si>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표본 전부 </t>
    </r>
    <r>
      <rPr>
        <sz val="10"/>
        <rFont val="Arial"/>
        <family val="0"/>
        <charset val="1"/>
      </rPr>
      <t xml:space="preserve">CONTROL-TOWER-PRINCIPLE </t>
    </r>
    <r>
      <rPr>
        <sz val="10"/>
        <rFont val="Noto Sans CJK SC"/>
        <family val="2"/>
      </rPr>
      <t xml:space="preserve">지시를 실제로 따름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무시하고 자체 판단으로 응답하지 않음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</si>
  <si>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2026-08-09 </t>
    </r>
    <r>
      <rPr>
        <sz val="10"/>
        <rFont val="Noto Sans CJK SC"/>
        <family val="2"/>
      </rPr>
      <t xml:space="preserve">주피터 지시 원문 — 이 표의 최우선 미결 과제</t>
    </r>
  </si>
  <si>
    <t xml:space="preserve">CT-06</t>
  </si>
  <si>
    <r>
      <rPr>
        <sz val="10"/>
        <rFont val="Arial"/>
        <family val="0"/>
        <charset val="1"/>
      </rPr>
      <t xml:space="preserve">gov-tree </t>
    </r>
    <r>
      <rPr>
        <sz val="10"/>
        <rFont val="Noto Sans CJK SC"/>
        <family val="2"/>
      </rPr>
      <t xml:space="preserve">관제탑 원칙 준수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기존 라이브 스모크테스트로 커버</t>
    </r>
    <r>
      <rPr>
        <sz val="10"/>
        <rFont val="Arial"/>
        <family val="0"/>
        <charset val="1"/>
      </rPr>
      <t xml:space="preserve">)</t>
    </r>
  </si>
  <si>
    <t xml:space="preserve">live-smoketest-control-tower-govtree.yml</t>
  </si>
  <si>
    <t xml:space="preserve">LIVE-PASS</t>
  </si>
  <si>
    <t xml:space="preserve">CT-07</t>
  </si>
  <si>
    <t xml:space="preserve">만족도</t>
  </si>
  <si>
    <r>
      <rPr>
        <sz val="10"/>
        <rFont val="Noto Sans CJK SC"/>
        <family val="2"/>
      </rPr>
      <t xml:space="preserve">위 </t>
    </r>
    <r>
      <rPr>
        <sz val="10"/>
        <rFont val="Arial"/>
        <family val="0"/>
        <charset val="1"/>
      </rPr>
      <t xml:space="preserve">CT-01</t>
    </r>
    <r>
      <rPr>
        <sz val="10"/>
        <rFont val="Noto Sans CJK SC"/>
        <family val="2"/>
      </rPr>
      <t xml:space="preserve">에서 새로 발견되는 미포함 경로가 있다면 즉시 이슈화</t>
    </r>
  </si>
  <si>
    <r>
      <rPr>
        <sz val="10"/>
        <rFont val="Arial"/>
        <family val="0"/>
        <charset val="1"/>
      </rPr>
      <t xml:space="preserve">CT-01 </t>
    </r>
    <r>
      <rPr>
        <sz val="10"/>
        <rFont val="Noto Sans CJK SC"/>
        <family val="2"/>
      </rPr>
      <t xml:space="preserve">결과표 기반</t>
    </r>
  </si>
  <si>
    <r>
      <rPr>
        <sz val="10"/>
        <rFont val="Noto Sans CJK SC"/>
        <family val="2"/>
      </rPr>
      <t xml:space="preserve">발견 즉시 패치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 표에 회귀 항목으로 재등록</t>
    </r>
  </si>
  <si>
    <t xml:space="preserve">이 시트의 존재 이유 자체</t>
  </si>
  <si>
    <t xml:space="preserve">AU-01</t>
  </si>
  <si>
    <t xml:space="preserve">SSO</t>
  </si>
  <si>
    <r>
      <rPr>
        <sz val="10"/>
        <rFont val="Noto Sans CJK SC"/>
        <family val="2"/>
      </rPr>
      <t xml:space="preserve">고팡 </t>
    </r>
    <r>
      <rPr>
        <sz val="10"/>
        <rFont val="Arial"/>
        <family val="0"/>
        <charset val="1"/>
      </rPr>
      <t xml:space="preserve">SSO 3</t>
    </r>
    <r>
      <rPr>
        <sz val="10"/>
        <rFont val="Noto Sans CJK SC"/>
        <family val="2"/>
      </rPr>
      <t xml:space="preserve">줄 통합</t>
    </r>
    <r>
      <rPr>
        <sz val="10"/>
        <rFont val="Arial"/>
        <family val="0"/>
        <charset val="1"/>
      </rPr>
      <t xml:space="preserve">(gopangAuth.require('L0')) — </t>
    </r>
    <r>
      <rPr>
        <sz val="10"/>
        <rFont val="Noto Sans CJK SC"/>
        <family val="2"/>
      </rPr>
      <t xml:space="preserve">위성 저장소 기준 흐름 재현</t>
    </r>
  </si>
  <si>
    <t xml:space="preserve">auth/gopang-sso.js, README.md §1</t>
  </si>
  <si>
    <r>
      <rPr>
        <sz val="10"/>
        <rFont val="Noto Sans CJK SC"/>
        <family val="2"/>
      </rPr>
      <t xml:space="preserve">미인증 시 자동 리다이렉트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인증 후 </t>
    </r>
    <r>
      <rPr>
        <sz val="10"/>
        <rFont val="Arial"/>
        <family val="0"/>
        <charset val="1"/>
      </rPr>
      <t xml:space="preserve">user.ipv6/level </t>
    </r>
    <r>
      <rPr>
        <sz val="10"/>
        <rFont val="Noto Sans CJK SC"/>
        <family val="2"/>
      </rPr>
      <t xml:space="preserve">정상 반환</t>
    </r>
  </si>
  <si>
    <t xml:space="preserve">AU-02</t>
  </si>
  <si>
    <r>
      <rPr>
        <sz val="10"/>
        <rFont val="Arial"/>
        <family val="0"/>
        <charset val="1"/>
      </rPr>
      <t xml:space="preserve">L0→L1→L2→L3 </t>
    </r>
    <r>
      <rPr>
        <sz val="10"/>
        <rFont val="Noto Sans CJK SC"/>
        <family val="2"/>
      </rPr>
      <t xml:space="preserve">인증 레벨 단계 승격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얼굴 </t>
    </r>
    <r>
      <rPr>
        <sz val="10"/>
        <rFont val="Arial"/>
        <family val="0"/>
        <charset val="1"/>
      </rPr>
      <t xml:space="preserve">MediaPipe, </t>
    </r>
    <r>
      <rPr>
        <sz val="10"/>
        <rFont val="Noto Sans CJK SC"/>
        <family val="2"/>
      </rPr>
      <t xml:space="preserve">지문 </t>
    </r>
    <r>
      <rPr>
        <sz val="10"/>
        <rFont val="Arial"/>
        <family val="0"/>
        <charset val="1"/>
      </rPr>
      <t xml:space="preserve">WebAuthn, 4</t>
    </r>
    <r>
      <rPr>
        <sz val="10"/>
        <rFont val="Noto Sans CJK SC"/>
        <family val="2"/>
      </rPr>
      <t xml:space="preserve">단어</t>
    </r>
    <r>
      <rPr>
        <sz val="10"/>
        <rFont val="Arial"/>
        <family val="0"/>
        <charset val="1"/>
      </rPr>
      <t xml:space="preserve">)</t>
    </r>
  </si>
  <si>
    <t xml:space="preserve">auth/, /account/step-up-challenge, /account/step-up-verify</t>
  </si>
  <si>
    <r>
      <rPr>
        <sz val="10"/>
        <rFont val="Noto Sans CJK SC"/>
        <family val="2"/>
      </rPr>
      <t xml:space="preserve">각 레벨 요구 조건 충족 시에만 승격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미충족 시 차단</t>
    </r>
  </si>
  <si>
    <t xml:space="preserve">AU-03</t>
  </si>
  <si>
    <r>
      <rPr>
        <sz val="10"/>
        <rFont val="Arial"/>
        <family val="0"/>
        <charset val="1"/>
      </rPr>
      <t xml:space="preserve">device-link QR </t>
    </r>
    <r>
      <rPr>
        <sz val="10"/>
        <rFont val="Noto Sans CJK SC"/>
        <family val="2"/>
      </rPr>
      <t xml:space="preserve">로그인 전체 체인</t>
    </r>
    <r>
      <rPr>
        <sz val="10"/>
        <rFont val="Arial"/>
        <family val="0"/>
        <charset val="1"/>
      </rPr>
      <t xml:space="preserve">(init→deliver→poll→verify)</t>
    </r>
  </si>
  <si>
    <t xml:space="preserve">auth/device-link.html, worker.js /auth/device-link/*</t>
  </si>
  <si>
    <r>
      <rPr>
        <sz val="10"/>
        <rFont val="Arial"/>
        <family val="0"/>
        <charset val="1"/>
      </rPr>
      <t xml:space="preserve">QR </t>
    </r>
    <r>
      <rPr>
        <sz val="10"/>
        <rFont val="Noto Sans CJK SC"/>
        <family val="2"/>
      </rPr>
      <t xml:space="preserve">스캔</t>
    </r>
    <r>
      <rPr>
        <sz val="10"/>
        <rFont val="Arial"/>
        <family val="0"/>
        <charset val="1"/>
      </rPr>
      <t xml:space="preserve">~</t>
    </r>
    <r>
      <rPr>
        <sz val="10"/>
        <rFont val="Noto Sans CJK SC"/>
        <family val="2"/>
      </rPr>
      <t xml:space="preserve">로그인 완료까지 매끄럽게 연결</t>
    </r>
  </si>
  <si>
    <r>
      <rPr>
        <sz val="10"/>
        <rFont val="Arial"/>
        <family val="0"/>
        <charset val="1"/>
      </rPr>
      <t xml:space="preserve">DEVICE_LINK_FULL_CHAIN_INCIDENT_2026_07_28.md </t>
    </r>
    <r>
      <rPr>
        <sz val="10"/>
        <rFont val="Noto Sans CJK SC"/>
        <family val="2"/>
      </rPr>
      <t xml:space="preserve">재현 — 회귀 확인</t>
    </r>
  </si>
  <si>
    <t xml:space="preserve">AU-04</t>
  </si>
  <si>
    <r>
      <rPr>
        <sz val="10"/>
        <rFont val="Arial"/>
        <family val="0"/>
        <charset val="1"/>
      </rPr>
      <t xml:space="preserve">device-link KV TTL </t>
    </r>
    <r>
      <rPr>
        <sz val="10"/>
        <rFont val="Noto Sans CJK SC"/>
        <family val="2"/>
      </rPr>
      <t xml:space="preserve">최소값 준수</t>
    </r>
  </si>
  <si>
    <r>
      <rPr>
        <sz val="10"/>
        <rFont val="Arial"/>
        <family val="0"/>
        <charset val="1"/>
      </rPr>
      <t xml:space="preserve">DEVICELINK_KV_TTL_MINIMUM_2026_07_22.md </t>
    </r>
    <r>
      <rPr>
        <sz val="10"/>
        <rFont val="Noto Sans CJK SC"/>
        <family val="2"/>
      </rPr>
      <t xml:space="preserve">기준</t>
    </r>
  </si>
  <si>
    <r>
      <rPr>
        <sz val="10"/>
        <rFont val="Arial"/>
        <family val="0"/>
        <charset val="1"/>
      </rPr>
      <t xml:space="preserve">TTL</t>
    </r>
    <r>
      <rPr>
        <sz val="10"/>
        <rFont val="Noto Sans CJK SC"/>
        <family val="2"/>
      </rPr>
      <t xml:space="preserve">이 문서화된 최소값 이상</t>
    </r>
  </si>
  <si>
    <t xml:space="preserve">AU-05</t>
  </si>
  <si>
    <r>
      <rPr>
        <sz val="10"/>
        <rFont val="Arial"/>
        <family val="0"/>
        <charset val="1"/>
      </rPr>
      <t xml:space="preserve">gwp_token </t>
    </r>
    <r>
      <rPr>
        <sz val="10"/>
        <rFont val="Noto Sans CJK SC"/>
        <family val="2"/>
      </rPr>
      <t xml:space="preserve">발급 경로</t>
    </r>
    <r>
      <rPr>
        <sz val="10"/>
        <rFont val="Arial"/>
        <family val="0"/>
        <charset val="1"/>
      </rPr>
      <t xml:space="preserve">(SSO </t>
    </r>
    <r>
      <rPr>
        <sz val="10"/>
        <rFont val="Noto Sans CJK SC"/>
        <family val="2"/>
      </rPr>
      <t xml:space="preserve">경로</t>
    </r>
    <r>
      <rPr>
        <sz val="10"/>
        <rFont val="Arial"/>
        <family val="0"/>
        <charset val="1"/>
      </rPr>
      <t xml:space="preserve">1) — engine.js issueToken </t>
    </r>
    <r>
      <rPr>
        <sz val="10"/>
        <rFont val="Noto Sans CJK SC"/>
        <family val="2"/>
      </rPr>
      <t xml:space="preserve">정상 발급 및 수신측 검증</t>
    </r>
  </si>
  <si>
    <r>
      <rPr>
        <sz val="10"/>
        <rFont val="Arial"/>
        <family val="0"/>
        <charset val="1"/>
      </rPr>
      <t xml:space="preserve">engine.js _gwpLaunch </t>
    </r>
    <r>
      <rPr>
        <sz val="10"/>
        <rFont val="Noto Sans CJK SC"/>
        <family val="2"/>
      </rPr>
      <t xml:space="preserve">내 </t>
    </r>
    <r>
      <rPr>
        <sz val="10"/>
        <rFont val="Arial"/>
        <family val="0"/>
        <charset val="1"/>
      </rPr>
      <t xml:space="preserve">issueToken </t>
    </r>
    <r>
      <rPr>
        <sz val="10"/>
        <rFont val="Noto Sans CJK SC"/>
        <family val="2"/>
      </rPr>
      <t xml:space="preserve">호출부</t>
    </r>
    <r>
      <rPr>
        <sz val="10"/>
        <rFont val="Arial"/>
        <family val="0"/>
        <charset val="1"/>
      </rPr>
      <t xml:space="preserve">, auth/gopang-sso.js</t>
    </r>
  </si>
  <si>
    <r>
      <rPr>
        <sz val="10"/>
        <rFont val="Arial"/>
        <family val="0"/>
        <charset val="1"/>
      </rPr>
      <t xml:space="preserve">gwp_token </t>
    </r>
    <r>
      <rPr>
        <sz val="10"/>
        <rFont val="Noto Sans CJK SC"/>
        <family val="2"/>
      </rPr>
      <t xml:space="preserve">발급 성공 시 수신 서비스가 </t>
    </r>
    <r>
      <rPr>
        <sz val="10"/>
        <rFont val="Arial"/>
        <family val="0"/>
        <charset val="1"/>
      </rPr>
      <t xml:space="preserve">opener postMessage </t>
    </r>
    <r>
      <rPr>
        <sz val="10"/>
        <rFont val="Noto Sans CJK SC"/>
        <family val="2"/>
      </rPr>
      <t xml:space="preserve">왕복 없이 즉시 인증</t>
    </r>
  </si>
  <si>
    <r>
      <rPr>
        <sz val="10"/>
        <rFont val="Arial"/>
        <family val="0"/>
        <charset val="1"/>
      </rPr>
      <t xml:space="preserve">2026-07-30 </t>
    </r>
    <r>
      <rPr>
        <sz val="10"/>
        <rFont val="Noto Sans CJK SC"/>
        <family val="2"/>
      </rPr>
      <t xml:space="preserve">신설 — 실배포 검증 이력 있는지 불확실</t>
    </r>
  </si>
  <si>
    <t xml:space="preserve">AU-06</t>
  </si>
  <si>
    <t xml:space="preserve">보안</t>
  </si>
  <si>
    <r>
      <rPr>
        <sz val="10"/>
        <rFont val="Noto Sans CJK SC"/>
        <family val="2"/>
      </rPr>
      <t xml:space="preserve">전화번호 사칭</t>
    </r>
    <r>
      <rPr>
        <sz val="10"/>
        <rFont val="Arial"/>
        <family val="0"/>
        <charset val="1"/>
      </rPr>
      <t xml:space="preserve">(impersonation) </t>
    </r>
    <r>
      <rPr>
        <sz val="10"/>
        <rFont val="Noto Sans CJK SC"/>
        <family val="2"/>
      </rPr>
      <t xml:space="preserve">취약점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계층 방어 회귀</t>
    </r>
  </si>
  <si>
    <r>
      <rPr>
        <sz val="10"/>
        <rFont val="Noto Sans CJK SC"/>
        <family val="2"/>
      </rPr>
      <t xml:space="preserve">메모리 기록 —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개 레이어 수정 이력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구체 파일은 </t>
    </r>
    <r>
      <rPr>
        <sz val="10"/>
        <rFont val="Arial"/>
        <family val="0"/>
        <charset val="1"/>
      </rPr>
      <t xml:space="preserve">auth/ </t>
    </r>
    <r>
      <rPr>
        <sz val="10"/>
        <rFont val="Noto Sans CJK SC"/>
        <family val="2"/>
      </rPr>
      <t xml:space="preserve">전화 인증 관련 검색 필요</t>
    </r>
  </si>
  <si>
    <r>
      <rPr>
        <sz val="10"/>
        <rFont val="Noto Sans CJK SC"/>
        <family val="2"/>
      </rPr>
      <t xml:space="preserve">동일 취약점 재현 시도 실패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방어 유지</t>
    </r>
    <r>
      <rPr>
        <sz val="10"/>
        <rFont val="Arial"/>
        <family val="0"/>
        <charset val="1"/>
      </rPr>
      <t xml:space="preserve">)</t>
    </r>
  </si>
  <si>
    <t xml:space="preserve">보안 인시던트 — 최우선 회귀</t>
  </si>
  <si>
    <t xml:space="preserve">AU-07</t>
  </si>
  <si>
    <t xml:space="preserve">지갑보안</t>
  </si>
  <si>
    <r>
      <rPr>
        <sz val="10"/>
        <rFont val="Arial"/>
        <family val="0"/>
        <charset val="1"/>
      </rPr>
      <t xml:space="preserve">WebAuthn PRF </t>
    </r>
    <r>
      <rPr>
        <sz val="10"/>
        <rFont val="Noto Sans CJK SC"/>
        <family val="2"/>
      </rPr>
      <t xml:space="preserve">지갑 서명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키 유도 정상 동작</t>
    </r>
  </si>
  <si>
    <r>
      <rPr>
        <sz val="10"/>
        <rFont val="Arial"/>
        <family val="0"/>
        <charset val="1"/>
      </rPr>
      <t xml:space="preserve">gopang-wallet.js WebAuthn PRF </t>
    </r>
    <r>
      <rPr>
        <sz val="10"/>
        <rFont val="Noto Sans CJK SC"/>
        <family val="2"/>
      </rPr>
      <t xml:space="preserve">관련부</t>
    </r>
  </si>
  <si>
    <r>
      <rPr>
        <sz val="10"/>
        <rFont val="Noto Sans CJK SC"/>
        <family val="2"/>
      </rPr>
      <t xml:space="preserve">지갑 서명 요청 시 </t>
    </r>
    <r>
      <rPr>
        <sz val="10"/>
        <rFont val="Arial"/>
        <family val="0"/>
        <charset val="1"/>
      </rPr>
      <t xml:space="preserve">WebAuthn PRF</t>
    </r>
    <r>
      <rPr>
        <sz val="10"/>
        <rFont val="Noto Sans CJK SC"/>
        <family val="2"/>
      </rPr>
      <t xml:space="preserve">로 정상 키 유도</t>
    </r>
  </si>
  <si>
    <t xml:space="preserve">AU-08</t>
  </si>
  <si>
    <t xml:space="preserve">관리자</t>
  </si>
  <si>
    <r>
      <rPr>
        <sz val="10"/>
        <rFont val="Arial"/>
        <family val="0"/>
        <charset val="1"/>
      </rPr>
      <t xml:space="preserve">/admin/login, /admin/users/* </t>
    </r>
    <r>
      <rPr>
        <sz val="10"/>
        <rFont val="Noto Sans CJK SC"/>
        <family val="2"/>
      </rPr>
      <t xml:space="preserve">관리자 전용 엔드포인트 권한 검증</t>
    </r>
  </si>
  <si>
    <r>
      <rPr>
        <sz val="10"/>
        <rFont val="Arial"/>
        <family val="0"/>
        <charset val="1"/>
      </rPr>
      <t xml:space="preserve">worker.js /admin/* (13</t>
    </r>
    <r>
      <rPr>
        <sz val="10"/>
        <rFont val="Noto Sans CJK SC"/>
        <family val="2"/>
      </rPr>
      <t xml:space="preserve">개 엔드포인트</t>
    </r>
    <r>
      <rPr>
        <sz val="10"/>
        <rFont val="Arial"/>
        <family val="0"/>
        <charset val="1"/>
      </rPr>
      <t xml:space="preserve">)</t>
    </r>
  </si>
  <si>
    <t xml:space="preserve">비관리자 토큰으로 접근 시 전부 거부</t>
  </si>
  <si>
    <t xml:space="preserve">AU-09</t>
  </si>
  <si>
    <t xml:space="preserve">동의</t>
  </si>
  <si>
    <r>
      <rPr>
        <sz val="10"/>
        <rFont val="Arial"/>
        <family val="0"/>
        <charset val="1"/>
      </rPr>
      <t xml:space="preserve">consent.html </t>
    </r>
    <r>
      <rPr>
        <sz val="10"/>
        <rFont val="Noto Sans CJK SC"/>
        <family val="2"/>
      </rPr>
      <t xml:space="preserve">이용약정서 동의 플로우 및 </t>
    </r>
    <r>
      <rPr>
        <sz val="10"/>
        <rFont val="Arial"/>
        <family val="0"/>
        <charset val="1"/>
      </rPr>
      <t xml:space="preserve">GDPR</t>
    </r>
    <r>
      <rPr>
        <sz val="10"/>
        <rFont val="Noto Sans CJK SC"/>
        <family val="2"/>
      </rPr>
      <t xml:space="preserve">류 최소 요건</t>
    </r>
  </si>
  <si>
    <t xml:space="preserve">consent.html, worker.js /consent/*</t>
  </si>
  <si>
    <r>
      <rPr>
        <sz val="10"/>
        <rFont val="Noto Sans CJK SC"/>
        <family val="2"/>
      </rPr>
      <t xml:space="preserve">동의 없이는 서비스 진행 불가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철회 가능</t>
    </r>
  </si>
  <si>
    <t xml:space="preserve">PG-01</t>
  </si>
  <si>
    <t xml:space="preserve">PDV</t>
  </si>
  <si>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하원칙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누가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언제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어디서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무엇을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어떻게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왜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스키마 준수 리포트 전송</t>
    </r>
  </si>
  <si>
    <t xml:space="preserve">docs/gopang-report-manual.md, worker.js /pdv/report</t>
  </si>
  <si>
    <r>
      <rPr>
        <sz val="10"/>
        <rFont val="Noto Sans CJK SC"/>
        <family val="2"/>
      </rPr>
      <t xml:space="preserve">필드 누락 시 명확한 오류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정상 시 </t>
    </r>
    <r>
      <rPr>
        <sz val="10"/>
        <rFont val="Arial"/>
        <family val="0"/>
        <charset val="1"/>
      </rPr>
      <t xml:space="preserve">pdv_entry ID </t>
    </r>
    <r>
      <rPr>
        <sz val="10"/>
        <rFont val="Noto Sans CJK SC"/>
        <family val="2"/>
      </rPr>
      <t xml:space="preserve">반환</t>
    </r>
  </si>
  <si>
    <t xml:space="preserve">PG-02</t>
  </si>
  <si>
    <r>
      <rPr>
        <sz val="10"/>
        <rFont val="Arial"/>
        <family val="0"/>
        <charset val="1"/>
      </rPr>
      <t xml:space="preserve">PDV </t>
    </r>
    <r>
      <rPr>
        <sz val="10"/>
        <rFont val="Noto Sans CJK SC"/>
        <family val="2"/>
      </rPr>
      <t xml:space="preserve">기록과 </t>
    </r>
    <r>
      <rPr>
        <sz val="10"/>
        <rFont val="Arial"/>
        <family val="0"/>
        <charset val="1"/>
      </rPr>
      <t xml:space="preserve">gwp_registry.call_count_30d </t>
    </r>
    <r>
      <rPr>
        <sz val="10"/>
        <rFont val="Noto Sans CJK SC"/>
        <family val="2"/>
      </rPr>
      <t xml:space="preserve">동시 증분</t>
    </r>
    <r>
      <rPr>
        <sz val="10"/>
        <rFont val="Arial"/>
        <family val="0"/>
        <charset val="1"/>
      </rPr>
      <t xml:space="preserve">(fire-and-forget) </t>
    </r>
    <r>
      <rPr>
        <sz val="10"/>
        <rFont val="Noto Sans CJK SC"/>
        <family val="2"/>
      </rPr>
      <t xml:space="preserve">정합성</t>
    </r>
  </si>
  <si>
    <t xml:space="preserve">engine.js _recordPDVAndBumpRegistry</t>
  </si>
  <si>
    <r>
      <rPr>
        <sz val="10"/>
        <rFont val="Arial"/>
        <family val="0"/>
        <charset val="1"/>
      </rPr>
      <t xml:space="preserve">PDV </t>
    </r>
    <r>
      <rPr>
        <sz val="10"/>
        <rFont val="Noto Sans CJK SC"/>
        <family val="2"/>
      </rPr>
      <t xml:space="preserve">기록 실패와 무관하게 항상 기록 자체는 성공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카운트 증분은 </t>
    </r>
    <r>
      <rPr>
        <sz val="10"/>
        <rFont val="Arial"/>
        <family val="0"/>
        <charset val="1"/>
      </rPr>
      <t xml:space="preserve">best-effort</t>
    </r>
  </si>
  <si>
    <t xml:space="preserve">PG-03</t>
  </si>
  <si>
    <t xml:space="preserve">GDC</t>
  </si>
  <si>
    <r>
      <rPr>
        <sz val="10"/>
        <rFont val="Arial"/>
        <family val="0"/>
        <charset val="1"/>
      </rPr>
      <t xml:space="preserve">GDC </t>
    </r>
    <r>
      <rPr>
        <sz val="10"/>
        <rFont val="Noto Sans CJK SC"/>
        <family val="2"/>
      </rPr>
      <t xml:space="preserve">민감정보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시크릿</t>
    </r>
    <r>
      <rPr>
        <sz val="10"/>
        <rFont val="Arial"/>
        <family val="0"/>
        <charset val="1"/>
      </rPr>
      <t xml:space="preserve">) git </t>
    </r>
    <r>
      <rPr>
        <sz val="10"/>
        <rFont val="Noto Sans CJK SC"/>
        <family val="2"/>
      </rPr>
      <t xml:space="preserve">노출 방지 — 과거 사고 재현</t>
    </r>
  </si>
  <si>
    <r>
      <rPr>
        <sz val="10"/>
        <rFont val="Arial"/>
        <family val="0"/>
        <charset val="1"/>
      </rPr>
      <t xml:space="preserve">GDC_GIT_EXPOSURE_INCIDENT_2026_07_23.md </t>
    </r>
    <r>
      <rPr>
        <sz val="10"/>
        <rFont val="Noto Sans CJK SC"/>
        <family val="2"/>
      </rPr>
      <t xml:space="preserve">절차 재현 </t>
    </r>
    <r>
      <rPr>
        <sz val="10"/>
        <rFont val="Arial"/>
        <family val="0"/>
        <charset val="1"/>
      </rPr>
      <t xml:space="preserve">+ git-secrets</t>
    </r>
    <r>
      <rPr>
        <sz val="10"/>
        <rFont val="Noto Sans CJK SC"/>
        <family val="2"/>
      </rPr>
      <t xml:space="preserve">류 스캔</t>
    </r>
  </si>
  <si>
    <r>
      <rPr>
        <sz val="10"/>
        <rFont val="Noto Sans CJK SC"/>
        <family val="2"/>
      </rPr>
      <t xml:space="preserve">동일 패턴의 시크릿이 </t>
    </r>
    <r>
      <rPr>
        <sz val="10"/>
        <rFont val="Arial"/>
        <family val="0"/>
        <charset val="1"/>
      </rPr>
      <t xml:space="preserve">diff/</t>
    </r>
    <r>
      <rPr>
        <sz val="10"/>
        <rFont val="Noto Sans CJK SC"/>
        <family val="2"/>
      </rPr>
      <t xml:space="preserve">커밋 이력에 없음</t>
    </r>
  </si>
  <si>
    <t xml:space="preserve">PG-04</t>
  </si>
  <si>
    <r>
      <rPr>
        <sz val="10"/>
        <rFont val="Arial"/>
        <family val="0"/>
        <charset val="1"/>
      </rPr>
      <t xml:space="preserve">GDC </t>
    </r>
    <r>
      <rPr>
        <sz val="10"/>
        <rFont val="Noto Sans CJK SC"/>
        <family val="2"/>
      </rPr>
      <t xml:space="preserve">충전 요청</t>
    </r>
    <r>
      <rPr>
        <sz val="10"/>
        <rFont val="Arial"/>
        <family val="0"/>
        <charset val="1"/>
      </rPr>
      <t xml:space="preserve">~</t>
    </r>
    <r>
      <rPr>
        <sz val="10"/>
        <rFont val="Noto Sans CJK SC"/>
        <family val="2"/>
      </rPr>
      <t xml:space="preserve">승인</t>
    </r>
    <r>
      <rPr>
        <sz val="10"/>
        <rFont val="Arial"/>
        <family val="0"/>
        <charset val="1"/>
      </rPr>
      <t xml:space="preserve">~</t>
    </r>
    <r>
      <rPr>
        <sz val="10"/>
        <rFont val="Noto Sans CJK SC"/>
        <family val="2"/>
      </rPr>
      <t xml:space="preserve">웹훅</t>
    </r>
    <r>
      <rPr>
        <sz val="10"/>
        <rFont val="Arial"/>
        <family val="0"/>
        <charset val="1"/>
      </rPr>
      <t xml:space="preserve">(PG) </t>
    </r>
    <r>
      <rPr>
        <sz val="10"/>
        <rFont val="Noto Sans CJK SC"/>
        <family val="2"/>
      </rPr>
      <t xml:space="preserve">전체 플로우</t>
    </r>
  </si>
  <si>
    <t xml:space="preserve">worker.js /biz/charge-request, /biz/charge-confirm, /biz/charge-webhook-pg</t>
  </si>
  <si>
    <r>
      <rPr>
        <sz val="10"/>
        <rFont val="Noto Sans CJK SC"/>
        <family val="2"/>
      </rPr>
      <t xml:space="preserve">충전 완료까지 정합성 유지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중복 승인 방지</t>
    </r>
  </si>
  <si>
    <t xml:space="preserve">PG-05</t>
  </si>
  <si>
    <r>
      <rPr>
        <sz val="10"/>
        <rFont val="Arial"/>
        <family val="0"/>
        <charset val="1"/>
      </rPr>
      <t xml:space="preserve">GDC </t>
    </r>
    <r>
      <rPr>
        <sz val="10"/>
        <rFont val="Noto Sans CJK SC"/>
        <family val="2"/>
      </rPr>
      <t xml:space="preserve">예치</t>
    </r>
    <r>
      <rPr>
        <sz val="10"/>
        <rFont val="Arial"/>
        <family val="0"/>
        <charset val="1"/>
      </rPr>
      <t xml:space="preserve">(deposit)~</t>
    </r>
    <r>
      <rPr>
        <sz val="10"/>
        <rFont val="Noto Sans CJK SC"/>
        <family val="2"/>
      </rPr>
      <t xml:space="preserve">예치 종료</t>
    </r>
    <r>
      <rPr>
        <sz val="10"/>
        <rFont val="Arial"/>
        <family val="0"/>
        <charset val="1"/>
      </rPr>
      <t xml:space="preserve">(deposit-close) </t>
    </r>
    <r>
      <rPr>
        <sz val="10"/>
        <rFont val="Noto Sans CJK SC"/>
        <family val="2"/>
      </rPr>
      <t xml:space="preserve">플로우</t>
    </r>
  </si>
  <si>
    <t xml:space="preserve">worker.js /biz/gdc-deposit, /biz/gdc-deposit-close</t>
  </si>
  <si>
    <r>
      <rPr>
        <sz val="10"/>
        <rFont val="Noto Sans CJK SC"/>
        <family val="2"/>
      </rPr>
      <t xml:space="preserve">예치 이자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정산 정확</t>
    </r>
  </si>
  <si>
    <t xml:space="preserve">PG-06</t>
  </si>
  <si>
    <r>
      <rPr>
        <sz val="10"/>
        <rFont val="Arial"/>
        <family val="0"/>
        <charset val="1"/>
      </rPr>
      <t xml:space="preserve">GDC DAO </t>
    </r>
    <r>
      <rPr>
        <sz val="10"/>
        <rFont val="Noto Sans CJK SC"/>
        <family val="2"/>
      </rPr>
      <t xml:space="preserve">제안</t>
    </r>
    <r>
      <rPr>
        <sz val="10"/>
        <rFont val="Arial"/>
        <family val="0"/>
        <charset val="1"/>
      </rPr>
      <t xml:space="preserve">(proposal)~</t>
    </r>
    <r>
      <rPr>
        <sz val="10"/>
        <rFont val="Noto Sans CJK SC"/>
        <family val="2"/>
      </rPr>
      <t xml:space="preserve">투표</t>
    </r>
    <r>
      <rPr>
        <sz val="10"/>
        <rFont val="Arial"/>
        <family val="0"/>
        <charset val="1"/>
      </rPr>
      <t xml:space="preserve">(vote) </t>
    </r>
    <r>
      <rPr>
        <sz val="10"/>
        <rFont val="Noto Sans CJK SC"/>
        <family val="2"/>
      </rPr>
      <t xml:space="preserve">거버넌스 플로우</t>
    </r>
  </si>
  <si>
    <t xml:space="preserve">worker.js /biz/gdc-dao/proposal, /biz/gdc-dao/vote, /biz/gdc-dao/proposals</t>
  </si>
  <si>
    <r>
      <rPr>
        <sz val="10"/>
        <rFont val="Noto Sans CJK SC"/>
        <family val="2"/>
      </rPr>
      <t xml:space="preserve">중복 투표 방지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정족수 계산 정확</t>
    </r>
  </si>
  <si>
    <t xml:space="preserve">PG-07</t>
  </si>
  <si>
    <r>
      <rPr>
        <sz val="10"/>
        <rFont val="Arial"/>
        <family val="0"/>
        <charset val="1"/>
      </rPr>
      <t xml:space="preserve">GDC</t>
    </r>
    <r>
      <rPr>
        <sz val="10"/>
        <rFont val="Noto Sans CJK SC"/>
        <family val="2"/>
      </rPr>
      <t xml:space="preserve">원장</t>
    </r>
  </si>
  <si>
    <r>
      <rPr>
        <sz val="10"/>
        <rFont val="Arial"/>
        <family val="0"/>
        <charset val="1"/>
      </rPr>
      <t xml:space="preserve">OpenHash GDC </t>
    </r>
    <r>
      <rPr>
        <sz val="10"/>
        <rFont val="Noto Sans CJK SC"/>
        <family val="2"/>
      </rPr>
      <t xml:space="preserve">계층적 원장</t>
    </r>
    <r>
      <rPr>
        <sz val="10"/>
        <rFont val="Arial"/>
        <family val="0"/>
        <charset val="1"/>
      </rPr>
      <t xml:space="preserve">(43</t>
    </r>
    <r>
      <rPr>
        <sz val="10"/>
        <rFont val="Noto Sans CJK SC"/>
        <family val="2"/>
      </rPr>
      <t xml:space="preserve">개 </t>
    </r>
    <r>
      <rPr>
        <sz val="10"/>
        <rFont val="Arial"/>
        <family val="0"/>
        <charset val="1"/>
      </rPr>
      <t xml:space="preserve">L1 </t>
    </r>
    <r>
      <rPr>
        <sz val="10"/>
        <rFont val="Noto Sans CJK SC"/>
        <family val="2"/>
      </rPr>
      <t xml:space="preserve">노드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정합성</t>
    </r>
  </si>
  <si>
    <r>
      <rPr>
        <sz val="10"/>
        <rFont val="Arial"/>
        <family val="0"/>
        <charset val="1"/>
      </rPr>
      <t xml:space="preserve">worker.js /ledger/*, /openhash/*, </t>
    </r>
    <r>
      <rPr>
        <sz val="10"/>
        <rFont val="Noto Sans CJK SC"/>
        <family val="2"/>
      </rPr>
      <t xml:space="preserve">서귀포시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번째 </t>
    </r>
    <r>
      <rPr>
        <sz val="10"/>
        <rFont val="Arial"/>
        <family val="0"/>
        <charset val="1"/>
      </rPr>
      <t xml:space="preserve">Oracle Cloud </t>
    </r>
    <r>
      <rPr>
        <sz val="10"/>
        <rFont val="Noto Sans CJK SC"/>
        <family val="2"/>
      </rPr>
      <t xml:space="preserve">서버 포함</t>
    </r>
  </si>
  <si>
    <r>
      <rPr>
        <sz val="10"/>
        <rFont val="Noto Sans CJK SC"/>
        <family val="2"/>
      </rPr>
      <t xml:space="preserve">노드 간 해시체인 일치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이중 확정 없음</t>
    </r>
  </si>
  <si>
    <t xml:space="preserve">PG-08</t>
  </si>
  <si>
    <t xml:space="preserve">지갑동기화</t>
  </si>
  <si>
    <r>
      <rPr>
        <sz val="10"/>
        <rFont val="Arial"/>
        <family val="0"/>
        <charset val="1"/>
      </rPr>
      <t xml:space="preserve">gopang-wallet.js 18+ </t>
    </r>
    <r>
      <rPr>
        <sz val="10"/>
        <rFont val="Noto Sans CJK SC"/>
        <family val="2"/>
      </rPr>
      <t xml:space="preserve">위성 저장소 </t>
    </r>
    <r>
      <rPr>
        <sz val="10"/>
        <rFont val="Arial"/>
        <family val="0"/>
        <charset val="1"/>
      </rPr>
      <t xml:space="preserve">drift(</t>
    </r>
    <r>
      <rPr>
        <sz val="10"/>
        <rFont val="Noto Sans CJK SC"/>
        <family val="2"/>
      </rPr>
      <t xml:space="preserve">기존 </t>
    </r>
    <r>
      <rPr>
        <sz val="10"/>
        <rFont val="Arial"/>
        <family val="0"/>
        <charset val="1"/>
      </rPr>
      <t xml:space="preserve">CI</t>
    </r>
    <r>
      <rPr>
        <sz val="10"/>
        <rFont val="Noto Sans CJK SC"/>
        <family val="2"/>
      </rPr>
      <t xml:space="preserve">로 커버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여기선 샘플 수동 확인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</si>
  <si>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신규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수동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교차검증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</si>
  <si>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check-wallet-sync.yml </t>
    </r>
    <r>
      <rPr>
        <sz val="10"/>
        <rFont val="Noto Sans CJK SC"/>
        <family val="2"/>
      </rPr>
      <t xml:space="preserve">결과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위성 저장소 </t>
    </r>
    <r>
      <rPr>
        <sz val="10"/>
        <rFont val="Arial"/>
        <family val="0"/>
        <charset val="1"/>
      </rPr>
      <t xml:space="preserve">3~5</t>
    </r>
    <r>
      <rPr>
        <sz val="10"/>
        <rFont val="Noto Sans CJK SC"/>
        <family val="2"/>
      </rPr>
      <t xml:space="preserve">곳 샘플 직접 </t>
    </r>
    <r>
      <rPr>
        <sz val="10"/>
        <rFont val="Arial"/>
        <family val="0"/>
        <charset val="1"/>
      </rPr>
      <t xml:space="preserve">diff</t>
    </r>
  </si>
  <si>
    <r>
      <rPr>
        <sz val="10"/>
        <rFont val="Arial"/>
        <family val="0"/>
        <charset val="1"/>
      </rPr>
      <t xml:space="preserve">CI green</t>
    </r>
    <r>
      <rPr>
        <sz val="10"/>
        <rFont val="Noto Sans CJK SC"/>
        <family val="2"/>
      </rPr>
      <t xml:space="preserve">과 실제 </t>
    </r>
    <r>
      <rPr>
        <sz val="10"/>
        <rFont val="Arial"/>
        <family val="0"/>
        <charset val="1"/>
      </rPr>
      <t xml:space="preserve">diff </t>
    </r>
    <r>
      <rPr>
        <sz val="10"/>
        <rFont val="Noto Sans CJK SC"/>
        <family val="2"/>
      </rPr>
      <t xml:space="preserve">결과 일치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오탐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누락 없는지 이중 확인</t>
    </r>
    <r>
      <rPr>
        <sz val="10"/>
        <rFont val="Arial"/>
        <family val="0"/>
        <charset val="1"/>
      </rPr>
      <t xml:space="preserve">)</t>
    </r>
  </si>
  <si>
    <t xml:space="preserve">PG-09</t>
  </si>
  <si>
    <t xml:space="preserve">결제</t>
  </si>
  <si>
    <r>
      <rPr>
        <sz val="10"/>
        <rFont val="Noto Sans CJK SC"/>
        <family val="2"/>
      </rPr>
      <t xml:space="preserve">보험 청구</t>
    </r>
    <r>
      <rPr>
        <sz val="10"/>
        <rFont val="Arial"/>
        <family val="0"/>
        <charset val="1"/>
      </rPr>
      <t xml:space="preserve">(ins-claim)~ACK </t>
    </r>
    <r>
      <rPr>
        <sz val="10"/>
        <rFont val="Noto Sans CJK SC"/>
        <family val="2"/>
      </rPr>
      <t xml:space="preserve">플로우</t>
    </r>
  </si>
  <si>
    <t xml:space="preserve">worker.js /biz/ins-claim, /biz/ins-claims, /biz/claims/ack</t>
  </si>
  <si>
    <r>
      <rPr>
        <sz val="10"/>
        <rFont val="Noto Sans CJK SC"/>
        <family val="2"/>
      </rPr>
      <t xml:space="preserve">청구</t>
    </r>
    <r>
      <rPr>
        <sz val="10"/>
        <rFont val="Arial"/>
        <family val="0"/>
        <charset val="1"/>
      </rPr>
      <t xml:space="preserve">~</t>
    </r>
    <r>
      <rPr>
        <sz val="10"/>
        <rFont val="Noto Sans CJK SC"/>
        <family val="2"/>
      </rPr>
      <t xml:space="preserve">승인</t>
    </r>
    <r>
      <rPr>
        <sz val="10"/>
        <rFont val="Arial"/>
        <family val="0"/>
        <charset val="1"/>
      </rPr>
      <t xml:space="preserve">~ACK </t>
    </r>
    <r>
      <rPr>
        <sz val="10"/>
        <rFont val="Noto Sans CJK SC"/>
        <family val="2"/>
      </rPr>
      <t xml:space="preserve">상태 전이 정확</t>
    </r>
  </si>
  <si>
    <t xml:space="preserve">PG-10</t>
  </si>
  <si>
    <t xml:space="preserve">재무</t>
  </si>
  <si>
    <r>
      <rPr>
        <sz val="10"/>
        <rFont val="Noto Sans CJK SC"/>
        <family val="2"/>
      </rPr>
      <t xml:space="preserve">재무제표</t>
    </r>
    <r>
      <rPr>
        <sz val="10"/>
        <rFont val="Arial"/>
        <family val="0"/>
        <charset val="1"/>
      </rPr>
      <t xml:space="preserve">(fs) </t>
    </r>
    <r>
      <rPr>
        <sz val="10"/>
        <rFont val="Noto Sans CJK SC"/>
        <family val="2"/>
      </rPr>
      <t xml:space="preserve">실시간 조회</t>
    </r>
    <r>
      <rPr>
        <sz val="10"/>
        <rFont val="Arial"/>
        <family val="0"/>
        <charset val="1"/>
      </rPr>
      <t xml:space="preserve">([BALANCE_CHECK] </t>
    </r>
    <r>
      <rPr>
        <sz val="10"/>
        <rFont val="Noto Sans CJK SC"/>
        <family val="2"/>
      </rPr>
      <t xml:space="preserve">태그</t>
    </r>
    <r>
      <rPr>
        <sz val="10"/>
        <rFont val="Arial"/>
        <family val="0"/>
        <charset val="1"/>
      </rPr>
      <t xml:space="preserve">)</t>
    </r>
  </si>
  <si>
    <t xml:space="preserve">call-ai.js _handleBalanceCheckTag, window.gopangWallet.getFinancialState()</t>
  </si>
  <si>
    <r>
      <rPr>
        <sz val="10"/>
        <rFont val="Noto Sans CJK SC"/>
        <family val="2"/>
      </rPr>
      <t xml:space="preserve">비공개 원칙 준수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제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자 노출</t>
    </r>
    <r>
      <rPr>
        <sz val="10"/>
        <rFont val="Arial"/>
        <family val="0"/>
        <charset val="1"/>
      </rPr>
      <t xml:space="preserve">·PARTIAL_SAVE </t>
    </r>
    <r>
      <rPr>
        <sz val="10"/>
        <rFont val="Noto Sans CJK SC"/>
        <family val="2"/>
      </rPr>
      <t xml:space="preserve">등에 유출되지 않음</t>
    </r>
    <r>
      <rPr>
        <sz val="10"/>
        <rFont val="Arial"/>
        <family val="0"/>
        <charset val="1"/>
      </rPr>
      <t xml:space="preserve">)</t>
    </r>
  </si>
  <si>
    <t xml:space="preserve">GT-01</t>
  </si>
  <si>
    <r>
      <rPr>
        <sz val="10"/>
        <rFont val="Arial"/>
        <family val="0"/>
        <charset val="1"/>
      </rPr>
      <t xml:space="preserve">PROVINCE_REGISTRY 16</t>
    </r>
    <r>
      <rPr>
        <sz val="10"/>
        <rFont val="Noto Sans CJK SC"/>
        <family val="2"/>
      </rPr>
      <t xml:space="preserve">개 도 단일 소스 정합성</t>
    </r>
    <r>
      <rPr>
        <sz val="10"/>
        <rFont val="Arial"/>
        <family val="0"/>
        <charset val="1"/>
      </rPr>
      <t xml:space="preserve">(2026-07-01 </t>
    </r>
    <r>
      <rPr>
        <sz val="10"/>
        <rFont val="Noto Sans CJK SC"/>
        <family val="2"/>
      </rPr>
      <t xml:space="preserve">전남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광주 통합 반영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</si>
  <si>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PROVINCE_REGISTRY </t>
    </r>
    <r>
      <rPr>
        <sz val="10"/>
        <rFont val="Noto Sans CJK SC"/>
        <family val="2"/>
      </rPr>
      <t xml:space="preserve">정의 파일</t>
    </r>
    <r>
      <rPr>
        <sz val="10"/>
        <rFont val="Arial"/>
        <family val="0"/>
        <charset val="1"/>
      </rPr>
      <t xml:space="preserve">, gov-router.js</t>
    </r>
  </si>
  <si>
    <r>
      <rPr>
        <sz val="10"/>
        <rFont val="Arial"/>
        <family val="0"/>
        <charset val="1"/>
      </rPr>
      <t xml:space="preserve">17→16</t>
    </r>
    <r>
      <rPr>
        <sz val="10"/>
        <rFont val="Noto Sans CJK SC"/>
        <family val="2"/>
      </rPr>
      <t xml:space="preserve">개 전환이 전 코드베이스에 일관 반영</t>
    </r>
  </si>
  <si>
    <t xml:space="preserve">GT-02</t>
  </si>
  <si>
    <r>
      <rPr>
        <sz val="10"/>
        <rFont val="Arial"/>
        <family val="0"/>
        <charset val="1"/>
      </rPr>
      <t xml:space="preserve">gov-router.js directCode </t>
    </r>
    <r>
      <rPr>
        <sz val="10"/>
        <rFont val="Noto Sans CJK SC"/>
        <family val="2"/>
      </rPr>
      <t xml:space="preserve">핸들러 — 하드코딩 </t>
    </r>
    <r>
      <rPr>
        <sz val="10"/>
        <rFont val="Arial"/>
        <family val="0"/>
        <charset val="1"/>
      </rPr>
      <t xml:space="preserve">'jeju' </t>
    </r>
    <r>
      <rPr>
        <sz val="10"/>
        <rFont val="Noto Sans CJK SC"/>
        <family val="2"/>
      </rPr>
      <t xml:space="preserve">폴백 버그 회귀</t>
    </r>
  </si>
  <si>
    <t xml:space="preserve">gov-router.js _findEntryAcrossProvinces()</t>
  </si>
  <si>
    <r>
      <rPr>
        <sz val="10"/>
        <rFont val="Noto Sans CJK SC"/>
        <family val="2"/>
      </rPr>
      <t xml:space="preserve">제주 외 지역 </t>
    </r>
    <r>
      <rPr>
        <sz val="10"/>
        <rFont val="Arial"/>
        <family val="0"/>
        <charset val="1"/>
      </rPr>
      <t xml:space="preserve">directCode </t>
    </r>
    <r>
      <rPr>
        <sz val="10"/>
        <rFont val="Noto Sans CJK SC"/>
        <family val="2"/>
      </rPr>
      <t xml:space="preserve">조회도 정확한 도로 해석</t>
    </r>
  </si>
  <si>
    <r>
      <rPr>
        <sz val="10"/>
        <rFont val="Arial"/>
        <family val="0"/>
        <charset val="1"/>
      </rPr>
      <t xml:space="preserve">src/tests/directcode-province-resolution.test.mjs </t>
    </r>
    <r>
      <rPr>
        <sz val="10"/>
        <rFont val="Noto Sans CJK SC"/>
        <family val="2"/>
      </rPr>
      <t xml:space="preserve">존재 — 먼저 이 단위테스트부터 실행</t>
    </r>
  </si>
  <si>
    <t xml:space="preserve">GT-03</t>
  </si>
  <si>
    <r>
      <rPr>
        <sz val="10"/>
        <rFont val="Arial"/>
        <family val="0"/>
        <charset val="1"/>
      </rPr>
      <t xml:space="preserve">lazy instancing(REAL/STUB/MISSING </t>
    </r>
    <r>
      <rPr>
        <sz val="10"/>
        <rFont val="Noto Sans CJK SC"/>
        <family val="2"/>
      </rPr>
      <t xml:space="preserve">분류기</t>
    </r>
    <r>
      <rPr>
        <sz val="10"/>
        <rFont val="Arial"/>
        <family val="0"/>
        <charset val="1"/>
      </rPr>
      <t xml:space="preserve">, PocketBase-first </t>
    </r>
    <r>
      <rPr>
        <sz val="10"/>
        <rFont val="Noto Sans CJK SC"/>
        <family val="2"/>
      </rPr>
      <t xml:space="preserve">조회</t>
    </r>
    <r>
      <rPr>
        <sz val="10"/>
        <rFont val="Arial"/>
        <family val="0"/>
        <charset val="1"/>
      </rPr>
      <t xml:space="preserve">, SP-Author </t>
    </r>
    <r>
      <rPr>
        <sz val="10"/>
        <rFont val="Noto Sans CJK SC"/>
        <family val="2"/>
      </rPr>
      <t xml:space="preserve">실시간 생성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</si>
  <si>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기존단위테스트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신규수동</t>
    </r>
  </si>
  <si>
    <t xml:space="preserve">src/tests/gov-tree-lazy-instancing.test.mjs, GOV_TREE_LAZY_INSTANCING_DESIGN_v1_0.md</t>
  </si>
  <si>
    <r>
      <rPr>
        <sz val="10"/>
        <rFont val="Noto Sans CJK SC"/>
        <family val="2"/>
      </rPr>
      <t xml:space="preserve">세 분류 모두 정확히 판정</t>
    </r>
    <r>
      <rPr>
        <sz val="10"/>
        <rFont val="Arial"/>
        <family val="0"/>
        <charset val="1"/>
      </rPr>
      <t xml:space="preserve">, MISSING</t>
    </r>
    <r>
      <rPr>
        <sz val="10"/>
        <rFont val="Noto Sans CJK SC"/>
        <family val="2"/>
      </rPr>
      <t xml:space="preserve">만 </t>
    </r>
    <r>
      <rPr>
        <sz val="10"/>
        <rFont val="Arial"/>
        <family val="0"/>
        <charset val="1"/>
      </rPr>
      <t xml:space="preserve">SP-Author </t>
    </r>
    <r>
      <rPr>
        <sz val="10"/>
        <rFont val="Noto Sans CJK SC"/>
        <family val="2"/>
      </rPr>
      <t xml:space="preserve">트리거</t>
    </r>
  </si>
  <si>
    <t xml:space="preserve">GT-04</t>
  </si>
  <si>
    <r>
      <rPr>
        <sz val="10"/>
        <rFont val="Arial"/>
        <family val="0"/>
        <charset val="1"/>
      </rPr>
      <t xml:space="preserve">_makeGenericCityDeptEntries </t>
    </r>
    <r>
      <rPr>
        <sz val="10"/>
        <rFont val="Noto Sans CJK SC"/>
        <family val="2"/>
      </rPr>
      <t xml:space="preserve">공유 테이블 키워드 오라우팅 버그 회귀</t>
    </r>
  </si>
  <si>
    <r>
      <rPr>
        <sz val="10"/>
        <rFont val="Arial"/>
        <family val="0"/>
        <charset val="1"/>
      </rPr>
      <t xml:space="preserve">EMD</t>
    </r>
    <r>
      <rPr>
        <sz val="10"/>
        <rFont val="Noto Sans CJK SC"/>
        <family val="2"/>
      </rPr>
      <t xml:space="preserve">급 업무가 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도 레벨로 잘못 라우팅되지 않는지 재현</t>
    </r>
  </si>
  <si>
    <r>
      <rPr>
        <sz val="10"/>
        <rFont val="Arial"/>
        <family val="0"/>
        <charset val="1"/>
      </rPr>
      <t xml:space="preserve">EMD </t>
    </r>
    <r>
      <rPr>
        <sz val="10"/>
        <rFont val="Noto Sans CJK SC"/>
        <family val="2"/>
      </rPr>
      <t xml:space="preserve">레벨 업무는 </t>
    </r>
    <r>
      <rPr>
        <sz val="10"/>
        <rFont val="Arial"/>
        <family val="0"/>
        <charset val="1"/>
      </rPr>
      <t xml:space="preserve">EMD</t>
    </r>
    <r>
      <rPr>
        <sz val="10"/>
        <rFont val="Noto Sans CJK SC"/>
        <family val="2"/>
      </rPr>
      <t xml:space="preserve">로 정확히 라우팅</t>
    </r>
  </si>
  <si>
    <t xml:space="preserve">이미 수정 이력 — 회귀 확인</t>
  </si>
  <si>
    <t xml:space="preserve">GT-05</t>
  </si>
  <si>
    <t xml:space="preserve">K-Search</t>
  </si>
  <si>
    <r>
      <rPr>
        <sz val="10"/>
        <rFont val="Noto Sans CJK SC"/>
        <family val="2"/>
      </rPr>
      <t xml:space="preserve">시맨틱 벡터 검색</t>
    </r>
    <r>
      <rPr>
        <sz val="10"/>
        <rFont val="Arial"/>
        <family val="0"/>
        <charset val="1"/>
      </rPr>
      <t xml:space="preserve">(Cloudflare Workers AI bge-m3 + Vectorize) </t>
    </r>
    <r>
      <rPr>
        <sz val="10"/>
        <rFont val="Noto Sans CJK SC"/>
        <family val="2"/>
      </rPr>
      <t xml:space="preserve">자연어 질의 정확도</t>
    </r>
  </si>
  <si>
    <t xml:space="preserve">worker.js /search/*, /entity-semantic-search, /embed-text</t>
  </si>
  <si>
    <r>
      <rPr>
        <sz val="10"/>
        <rFont val="Arial"/>
        <family val="0"/>
        <charset val="1"/>
      </rPr>
      <t xml:space="preserve">AND-</t>
    </r>
    <r>
      <rPr>
        <sz val="10"/>
        <rFont val="Noto Sans CJK SC"/>
        <family val="2"/>
      </rPr>
      <t xml:space="preserve">로직 공백분할 시절 </t>
    </r>
    <r>
      <rPr>
        <sz val="10"/>
        <rFont val="Arial"/>
        <family val="0"/>
        <charset val="1"/>
      </rPr>
      <t xml:space="preserve">0% </t>
    </r>
    <r>
      <rPr>
        <sz val="10"/>
        <rFont val="Noto Sans CJK SC"/>
        <family val="2"/>
      </rPr>
      <t xml:space="preserve">매칭이던 자연어 질의가 정상 매칭</t>
    </r>
  </si>
  <si>
    <r>
      <rPr>
        <sz val="10"/>
        <rFont val="Arial"/>
        <family val="0"/>
        <charset val="1"/>
      </rPr>
      <t xml:space="preserve">K-Search </t>
    </r>
    <r>
      <rPr>
        <sz val="10"/>
        <rFont val="Noto Sans CJK SC"/>
        <family val="2"/>
      </rPr>
      <t xml:space="preserve">업그레이드 핵심 회귀</t>
    </r>
  </si>
  <si>
    <t xml:space="preserve">GT-06</t>
  </si>
  <si>
    <r>
      <rPr>
        <sz val="10"/>
        <rFont val="Arial"/>
        <family val="0"/>
        <charset val="1"/>
      </rPr>
      <t xml:space="preserve">§1</t>
    </r>
    <r>
      <rPr>
        <sz val="10"/>
        <rFont val="Noto Sans CJK SC"/>
        <family val="2"/>
      </rPr>
      <t xml:space="preserve">원칙</t>
    </r>
  </si>
  <si>
    <r>
      <rPr>
        <sz val="10"/>
        <rFont val="Noto Sans CJK SC"/>
        <family val="2"/>
      </rPr>
      <t xml:space="preserve">모든 사용자</t>
    </r>
    <r>
      <rPr>
        <sz val="10"/>
        <rFont val="Arial"/>
        <family val="0"/>
        <charset val="1"/>
      </rPr>
      <t xml:space="preserve">=SP </t>
    </r>
    <r>
      <rPr>
        <sz val="10"/>
        <rFont val="Noto Sans CJK SC"/>
        <family val="2"/>
      </rPr>
      <t xml:space="preserve">원칙 — </t>
    </r>
    <r>
      <rPr>
        <sz val="10"/>
        <rFont val="Arial"/>
        <family val="0"/>
        <charset val="1"/>
      </rPr>
      <t xml:space="preserve">665</t>
    </r>
    <r>
      <rPr>
        <sz val="10"/>
        <rFont val="Noto Sans CJK SC"/>
        <family val="2"/>
      </rPr>
      <t xml:space="preserve">개 </t>
    </r>
    <r>
      <rPr>
        <sz val="10"/>
        <rFont val="Arial"/>
        <family val="0"/>
        <charset val="1"/>
      </rPr>
      <t xml:space="preserve">gov-tree </t>
    </r>
    <r>
      <rPr>
        <sz val="10"/>
        <rFont val="Noto Sans CJK SC"/>
        <family val="2"/>
      </rPr>
      <t xml:space="preserve">기관 </t>
    </r>
    <r>
      <rPr>
        <sz val="10"/>
        <rFont val="Arial"/>
        <family val="0"/>
        <charset val="1"/>
      </rPr>
      <t xml:space="preserve">+ 90</t>
    </r>
    <r>
      <rPr>
        <sz val="10"/>
        <rFont val="Noto Sans CJK SC"/>
        <family val="2"/>
      </rPr>
      <t xml:space="preserve">개 </t>
    </r>
    <r>
      <rPr>
        <sz val="10"/>
        <rFont val="Arial"/>
        <family val="0"/>
        <charset val="1"/>
      </rPr>
      <t xml:space="preserve">GWP/EXPERT</t>
    </r>
    <r>
      <rPr>
        <sz val="10"/>
        <rFont val="Noto Sans CJK SC"/>
        <family val="2"/>
      </rPr>
      <t xml:space="preserve">가 실제 </t>
    </r>
    <r>
      <rPr>
        <sz val="10"/>
        <rFont val="Arial"/>
        <family val="0"/>
        <charset val="1"/>
      </rPr>
      <t xml:space="preserve">K-Search </t>
    </r>
    <r>
      <rPr>
        <sz val="10"/>
        <rFont val="Noto Sans CJK SC"/>
        <family val="2"/>
      </rPr>
      <t xml:space="preserve">프로필로 검색되는지</t>
    </r>
  </si>
  <si>
    <r>
      <rPr>
        <sz val="10"/>
        <rFont val="Arial"/>
        <family val="0"/>
        <charset val="1"/>
      </rPr>
      <t xml:space="preserve">_l1UpsertProfile() </t>
    </r>
    <r>
      <rPr>
        <sz val="10"/>
        <rFont val="Noto Sans CJK SC"/>
        <family val="2"/>
      </rPr>
      <t xml:space="preserve">상위 검색 컬럼</t>
    </r>
    <r>
      <rPr>
        <sz val="10"/>
        <rFont val="Arial"/>
        <family val="0"/>
        <charset val="1"/>
      </rPr>
      <t xml:space="preserve">, K-Search </t>
    </r>
    <r>
      <rPr>
        <sz val="10"/>
        <rFont val="Noto Sans CJK SC"/>
        <family val="2"/>
      </rPr>
      <t xml:space="preserve">질의 샘플링</t>
    </r>
  </si>
  <si>
    <r>
      <rPr>
        <sz val="10"/>
        <rFont val="Noto Sans CJK SC"/>
        <family val="2"/>
      </rPr>
      <t xml:space="preserve">샘플 기관명으로 </t>
    </r>
    <r>
      <rPr>
        <sz val="10"/>
        <rFont val="Arial"/>
        <family val="0"/>
        <charset val="1"/>
      </rPr>
      <t xml:space="preserve">K-Search </t>
    </r>
    <r>
      <rPr>
        <sz val="10"/>
        <rFont val="Noto Sans CJK SC"/>
        <family val="2"/>
      </rPr>
      <t xml:space="preserve">질의 시 </t>
    </r>
    <r>
      <rPr>
        <sz val="10"/>
        <rFont val="Arial"/>
        <family val="0"/>
        <charset val="1"/>
      </rPr>
      <t xml:space="preserve">guid </t>
    </r>
    <r>
      <rPr>
        <sz val="10"/>
        <rFont val="Noto Sans CJK SC"/>
        <family val="2"/>
      </rPr>
      <t xml:space="preserve">정확히 반환</t>
    </r>
  </si>
  <si>
    <r>
      <rPr>
        <sz val="10"/>
        <rFont val="Arial"/>
        <family val="0"/>
        <charset val="1"/>
      </rPr>
      <t xml:space="preserve">§1 </t>
    </r>
    <r>
      <rPr>
        <sz val="10"/>
        <rFont val="Noto Sans CJK SC"/>
        <family val="2"/>
      </rPr>
      <t xml:space="preserve">제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원칙 코드 강제 검증</t>
    </r>
  </si>
  <si>
    <t xml:space="preserve">GT-07</t>
  </si>
  <si>
    <r>
      <rPr>
        <sz val="10"/>
        <rFont val="Arial"/>
        <family val="0"/>
        <charset val="1"/>
      </rPr>
      <t xml:space="preserve">178</t>
    </r>
    <r>
      <rPr>
        <sz val="10"/>
        <rFont val="Noto Sans CJK SC"/>
        <family val="2"/>
      </rPr>
      <t xml:space="preserve">개 </t>
    </r>
    <r>
      <rPr>
        <sz val="10"/>
        <rFont val="Arial"/>
        <family val="0"/>
        <charset val="1"/>
      </rPr>
      <t xml:space="preserve">gov-tree </t>
    </r>
    <r>
      <rPr>
        <sz val="10"/>
        <rFont val="Noto Sans CJK SC"/>
        <family val="2"/>
      </rPr>
      <t xml:space="preserve">기관 엔티티 기반 </t>
    </r>
    <r>
      <rPr>
        <sz val="10"/>
        <rFont val="Arial"/>
        <family val="0"/>
        <charset val="1"/>
      </rPr>
      <t xml:space="preserve">launch </t>
    </r>
    <r>
      <rPr>
        <sz val="10"/>
        <rFont val="Noto Sans CJK SC"/>
        <family val="2"/>
      </rPr>
      <t xml:space="preserve">폴백</t>
    </r>
    <r>
      <rPr>
        <sz val="10"/>
        <rFont val="Arial"/>
        <family val="0"/>
        <charset val="1"/>
      </rPr>
      <t xml:space="preserve">(_resolveEntityGwp)</t>
    </r>
  </si>
  <si>
    <r>
      <rPr>
        <sz val="10"/>
        <rFont val="Arial"/>
        <family val="0"/>
        <charset val="1"/>
      </rPr>
      <t xml:space="preserve">gwp-registry.js/call-ai.js _resolveEntityGwp, core 21</t>
    </r>
    <r>
      <rPr>
        <sz val="10"/>
        <rFont val="Noto Sans CJK SC"/>
        <family val="2"/>
      </rPr>
      <t xml:space="preserve">개 배열 밖 </t>
    </r>
    <r>
      <rPr>
        <sz val="10"/>
        <rFont val="Arial"/>
        <family val="0"/>
        <charset val="1"/>
      </rPr>
      <t xml:space="preserve">guid </t>
    </r>
    <r>
      <rPr>
        <sz val="10"/>
        <rFont val="Noto Sans CJK SC"/>
        <family val="2"/>
      </rPr>
      <t xml:space="preserve">처리</t>
    </r>
  </si>
  <si>
    <r>
      <rPr>
        <sz val="10"/>
        <rFont val="Noto Sans CJK SC"/>
        <family val="2"/>
      </rPr>
      <t xml:space="preserve">전용 </t>
    </r>
    <r>
      <rPr>
        <sz val="10"/>
        <rFont val="Arial"/>
        <family val="0"/>
        <charset val="1"/>
      </rPr>
      <t xml:space="preserve">SP </t>
    </r>
    <r>
      <rPr>
        <sz val="10"/>
        <rFont val="Noto Sans CJK SC"/>
        <family val="2"/>
      </rPr>
      <t xml:space="preserve">없는 기관도 </t>
    </r>
    <r>
      <rPr>
        <sz val="10"/>
        <rFont val="Arial"/>
        <family val="0"/>
        <charset val="1"/>
      </rPr>
      <t xml:space="preserve">kgov(</t>
    </r>
    <r>
      <rPr>
        <sz val="10"/>
        <rFont val="Noto Sans CJK SC"/>
        <family val="2"/>
      </rPr>
      <t xml:space="preserve">추상 클래스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로 낙착</t>
    </r>
    <r>
      <rPr>
        <sz val="10"/>
        <rFont val="Arial"/>
        <family val="0"/>
        <charset val="1"/>
      </rPr>
      <t xml:space="preserve">, null </t>
    </r>
    <r>
      <rPr>
        <sz val="10"/>
        <rFont val="Noto Sans CJK SC"/>
        <family val="2"/>
      </rPr>
      <t xml:space="preserve">반환 없음</t>
    </r>
  </si>
  <si>
    <t xml:space="preserve">GT-08</t>
  </si>
  <si>
    <r>
      <rPr>
        <sz val="10"/>
        <rFont val="Arial"/>
        <family val="0"/>
        <charset val="1"/>
      </rPr>
      <t xml:space="preserve">Busan </t>
    </r>
    <r>
      <rPr>
        <sz val="10"/>
        <rFont val="Noto Sans CJK SC"/>
        <family val="2"/>
      </rPr>
      <t xml:space="preserve">파일럿 라우팅 회귀</t>
    </r>
  </si>
  <si>
    <t xml:space="preserve">부산 지역 관련 시나리오</t>
  </si>
  <si>
    <t xml:space="preserve">부산 지역 요청 정확히 라우팅</t>
  </si>
  <si>
    <t xml:space="preserve">EX-01</t>
  </si>
  <si>
    <t xml:space="preserve">리프정합성</t>
  </si>
  <si>
    <r>
      <rPr>
        <sz val="10"/>
        <rFont val="Noto Sans CJK SC"/>
        <family val="2"/>
      </rPr>
      <t xml:space="preserve">신규 </t>
    </r>
    <r>
      <rPr>
        <sz val="10"/>
        <rFont val="Arial"/>
        <family val="0"/>
        <charset val="1"/>
      </rPr>
      <t xml:space="preserve">88</t>
    </r>
    <r>
      <rPr>
        <sz val="10"/>
        <rFont val="Noto Sans CJK SC"/>
        <family val="2"/>
      </rPr>
      <t xml:space="preserve">개 리프</t>
    </r>
    <r>
      <rPr>
        <sz val="10"/>
        <rFont val="Arial"/>
        <family val="0"/>
        <charset val="1"/>
      </rPr>
      <t xml:space="preserve">(physician 26·lawyer 46·patent-attorney 10·accountant 9)</t>
    </r>
    <r>
      <rPr>
        <sz val="10"/>
        <rFont val="Noto Sans CJK SC"/>
        <family val="2"/>
      </rPr>
      <t xml:space="preserve">가 </t>
    </r>
    <r>
      <rPr>
        <sz val="10"/>
        <rFont val="Arial"/>
        <family val="0"/>
        <charset val="1"/>
      </rPr>
      <t xml:space="preserve">sp-catalog.json</t>
    </r>
    <r>
      <rPr>
        <sz val="10"/>
        <rFont val="Noto Sans CJK SC"/>
        <family val="2"/>
      </rPr>
      <t xml:space="preserve">과 </t>
    </r>
    <r>
      <rPr>
        <sz val="10"/>
        <rFont val="Arial"/>
        <family val="0"/>
        <charset val="1"/>
      </rPr>
      <t xml:space="preserve">expert-registry-*.js </t>
    </r>
    <r>
      <rPr>
        <sz val="10"/>
        <rFont val="Noto Sans CJK SC"/>
        <family val="2"/>
      </rPr>
      <t xml:space="preserve">양쪽에 일관되게 존재</t>
    </r>
  </si>
  <si>
    <t xml:space="preserve">check-expert-table-sync.yml</t>
  </si>
  <si>
    <t xml:space="preserve">EX-02</t>
  </si>
  <si>
    <r>
      <rPr>
        <sz val="10"/>
        <rFont val="Arial"/>
        <family val="0"/>
        <charset val="1"/>
      </rPr>
      <t xml:space="preserve">expert-registry-core.js 4</t>
    </r>
    <r>
      <rPr>
        <sz val="10"/>
        <rFont val="Noto Sans CJK SC"/>
        <family val="2"/>
      </rPr>
      <t xml:space="preserve">개 도메인 파일 분리</t>
    </r>
    <r>
      <rPr>
        <sz val="10"/>
        <rFont val="Arial"/>
        <family val="0"/>
        <charset val="1"/>
      </rPr>
      <t xml:space="preserve">(PR #268) </t>
    </r>
    <r>
      <rPr>
        <sz val="10"/>
        <rFont val="Noto Sans CJK SC"/>
        <family val="2"/>
      </rPr>
      <t xml:space="preserve">이후 누락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중복 없음</t>
    </r>
  </si>
  <si>
    <t xml:space="preserve">expert-registry-core.js, -lawyer.js, -physician.js, -professor.js</t>
  </si>
  <si>
    <r>
      <rPr>
        <sz val="10"/>
        <rFont val="Arial"/>
        <family val="0"/>
        <charset val="1"/>
      </rPr>
      <t xml:space="preserve">62+</t>
    </r>
    <r>
      <rPr>
        <sz val="10"/>
        <rFont val="Noto Sans CJK SC"/>
        <family val="2"/>
      </rPr>
      <t xml:space="preserve">개 페르소나 전수 카운트 일치</t>
    </r>
  </si>
  <si>
    <t xml:space="preserve">EX-03</t>
  </si>
  <si>
    <t xml:space="preserve">라이브검증</t>
  </si>
  <si>
    <r>
      <rPr>
        <sz val="10"/>
        <rFont val="Arial"/>
        <family val="0"/>
        <charset val="1"/>
      </rPr>
      <t xml:space="preserve">62</t>
    </r>
    <r>
      <rPr>
        <sz val="10"/>
        <rFont val="Noto Sans CJK SC"/>
        <family val="2"/>
      </rPr>
      <t xml:space="preserve">개 </t>
    </r>
    <r>
      <rPr>
        <sz val="10"/>
        <rFont val="Arial"/>
        <family val="0"/>
        <charset val="1"/>
      </rPr>
      <t xml:space="preserve">EXPERT </t>
    </r>
    <r>
      <rPr>
        <sz val="10"/>
        <rFont val="Noto Sans CJK SC"/>
        <family val="2"/>
      </rPr>
      <t xml:space="preserve">페르소나 라이브 스모크테스트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기존 하네스</t>
    </r>
    <r>
      <rPr>
        <sz val="10"/>
        <rFont val="Arial"/>
        <family val="0"/>
        <charset val="1"/>
      </rPr>
      <t xml:space="preserve">, CT-04 </t>
    </r>
    <r>
      <rPr>
        <sz val="10"/>
        <rFont val="Noto Sans CJK SC"/>
        <family val="2"/>
      </rPr>
      <t xml:space="preserve">수정 후 재실행</t>
    </r>
    <r>
      <rPr>
        <sz val="10"/>
        <rFont val="Arial"/>
        <family val="0"/>
        <charset val="1"/>
      </rPr>
      <t xml:space="preserve">)</t>
    </r>
  </si>
  <si>
    <t xml:space="preserve">live-smoketest-expert-persona.yml</t>
  </si>
  <si>
    <r>
      <rPr>
        <sz val="10"/>
        <rFont val="Arial"/>
        <family val="0"/>
        <charset val="1"/>
      </rPr>
      <t xml:space="preserve">CT-04 </t>
    </r>
    <r>
      <rPr>
        <sz val="10"/>
        <rFont val="Noto Sans CJK SC"/>
        <family val="2"/>
      </rPr>
      <t xml:space="preserve">하네스 정합성 수정이 선행돼야 결과 신뢰 가능</t>
    </r>
  </si>
  <si>
    <t xml:space="preserve">EX-04</t>
  </si>
  <si>
    <t xml:space="preserve">세부전공</t>
  </si>
  <si>
    <r>
      <rPr>
        <sz val="10"/>
        <rFont val="Arial"/>
        <family val="0"/>
        <charset val="1"/>
      </rPr>
      <t xml:space="preserve">physician/lawyer/patent-attorney/accountant </t>
    </r>
    <r>
      <rPr>
        <sz val="10"/>
        <rFont val="Noto Sans CJK SC"/>
        <family val="2"/>
      </rPr>
      <t xml:space="preserve">세부 전공</t>
    </r>
    <r>
      <rPr>
        <sz val="10"/>
        <rFont val="Arial"/>
        <family val="0"/>
        <charset val="1"/>
      </rPr>
      <t xml:space="preserve">(subject-gate) </t>
    </r>
    <r>
      <rPr>
        <sz val="10"/>
        <rFont val="Noto Sans CJK SC"/>
        <family val="2"/>
      </rPr>
      <t xml:space="preserve">정밀 라우팅</t>
    </r>
  </si>
  <si>
    <t xml:space="preserve">subject_gate_hierarchical_live_smoketest, scenarios_subject_gate_stage2_gapfill_20260809.json</t>
  </si>
  <si>
    <t xml:space="preserve">직군명 없이 상황 서술만으로도 올바른 세부 리프 도달</t>
  </si>
  <si>
    <t xml:space="preserve">EX-05</t>
  </si>
  <si>
    <t xml:space="preserve">세션관리</t>
  </si>
  <si>
    <r>
      <rPr>
        <sz val="10"/>
        <rFont val="Noto Sans CJK SC"/>
        <family val="2"/>
      </rPr>
      <t xml:space="preserve">그림자 </t>
    </r>
    <r>
      <rPr>
        <sz val="10"/>
        <rFont val="Arial"/>
        <family val="0"/>
        <charset val="1"/>
      </rPr>
      <t xml:space="preserve">AI(AGENT-COMMON) </t>
    </r>
    <r>
      <rPr>
        <sz val="10"/>
        <rFont val="Noto Sans CJK SC"/>
        <family val="2"/>
      </rPr>
      <t xml:space="preserve">응답에서만 </t>
    </r>
    <r>
      <rPr>
        <sz val="10"/>
        <rFont val="Arial"/>
        <family val="0"/>
        <charset val="1"/>
      </rPr>
      <t xml:space="preserve">EXPERT </t>
    </r>
    <r>
      <rPr>
        <sz val="10"/>
        <rFont val="Noto Sans CJK SC"/>
        <family val="2"/>
      </rPr>
      <t xml:space="preserve">세션 진입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페르소나 본인 응답 재귀 전환 없음</t>
    </r>
  </si>
  <si>
    <r>
      <rPr>
        <sz val="10"/>
        <rFont val="Arial"/>
        <family val="0"/>
        <charset val="1"/>
      </rPr>
      <t xml:space="preserve">call-ai.js CFG.system?.includes('§0. </t>
    </r>
    <r>
      <rPr>
        <sz val="10"/>
        <rFont val="Noto Sans CJK SC"/>
        <family val="2"/>
      </rPr>
      <t xml:space="preserve">정체성</t>
    </r>
    <r>
      <rPr>
        <sz val="10"/>
        <rFont val="Arial"/>
        <family val="0"/>
        <charset val="1"/>
      </rPr>
      <t xml:space="preserve">') </t>
    </r>
    <r>
      <rPr>
        <sz val="10"/>
        <rFont val="Noto Sans CJK SC"/>
        <family val="2"/>
      </rPr>
      <t xml:space="preserve">게이트</t>
    </r>
  </si>
  <si>
    <t xml:space="preserve">페르소나 응답 중 우연한 패턴 매치로 세션이 바뀌지 않음</t>
  </si>
  <si>
    <t xml:space="preserve">EX-06</t>
  </si>
  <si>
    <t xml:space="preserve">NEXT_STEP</t>
  </si>
  <si>
    <r>
      <rPr>
        <sz val="10"/>
        <rFont val="Arial"/>
        <family val="0"/>
        <charset val="1"/>
      </rPr>
      <t xml:space="preserve">K-Execute/K-Deliver [NEXT_STEP:] </t>
    </r>
    <r>
      <rPr>
        <sz val="10"/>
        <rFont val="Noto Sans CJK SC"/>
        <family val="2"/>
      </rPr>
      <t xml:space="preserve">요구 없이 구조 직접 검사</t>
    </r>
    <r>
      <rPr>
        <sz val="10"/>
        <rFont val="Arial"/>
        <family val="0"/>
        <charset val="1"/>
      </rPr>
      <t xml:space="preserve">(_enforceConversationalStyle) </t>
    </r>
    <r>
      <rPr>
        <sz val="10"/>
        <rFont val="Noto Sans CJK SC"/>
        <family val="2"/>
      </rPr>
      <t xml:space="preserve">동작</t>
    </r>
  </si>
  <si>
    <r>
      <rPr>
        <sz val="10"/>
        <rFont val="Arial"/>
        <family val="0"/>
        <charset val="1"/>
      </rPr>
      <t xml:space="preserve">call-ai.js </t>
    </r>
    <r>
      <rPr>
        <sz val="10"/>
        <rFont val="Noto Sans CJK SC"/>
        <family val="2"/>
      </rPr>
      <t xml:space="preserve">모듈 하단 </t>
    </r>
    <r>
      <rPr>
        <sz val="10"/>
        <rFont val="Arial"/>
        <family val="0"/>
        <charset val="1"/>
      </rPr>
      <t xml:space="preserve">_violatesConversationalStyle/_enforceConversationalStyle</t>
    </r>
  </si>
  <si>
    <t xml:space="preserve">대화체 위반 시 정정 유도</t>
  </si>
  <si>
    <t xml:space="preserve">BZ-01</t>
  </si>
  <si>
    <t xml:space="preserve">카탈로그</t>
  </si>
  <si>
    <r>
      <rPr>
        <sz val="10"/>
        <rFont val="Arial"/>
        <family val="0"/>
        <charset val="1"/>
      </rPr>
      <t xml:space="preserve">/biz/catalog, /biz/catalog/hydrate, /biz/catalog/sync </t>
    </r>
    <r>
      <rPr>
        <sz val="10"/>
        <rFont val="Noto Sans CJK SC"/>
        <family val="2"/>
      </rPr>
      <t xml:space="preserve">상품 카탈로그 동기화</t>
    </r>
  </si>
  <si>
    <t xml:space="preserve">worker.js /biz/catalog*</t>
  </si>
  <si>
    <r>
      <rPr>
        <sz val="10"/>
        <rFont val="Noto Sans CJK SC"/>
        <family val="2"/>
      </rPr>
      <t xml:space="preserve">동기화 후 카탈로그 정합성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중복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누락 없음</t>
    </r>
    <r>
      <rPr>
        <sz val="10"/>
        <rFont val="Arial"/>
        <family val="0"/>
        <charset val="1"/>
      </rPr>
      <t xml:space="preserve">)</t>
    </r>
  </si>
  <si>
    <t xml:space="preserve">BZ-02</t>
  </si>
  <si>
    <r>
      <rPr>
        <sz val="10"/>
        <rFont val="Noto Sans CJK SC"/>
        <family val="2"/>
      </rPr>
      <t xml:space="preserve">잔액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충전</t>
    </r>
  </si>
  <si>
    <r>
      <rPr>
        <sz val="10"/>
        <rFont val="Arial"/>
        <family val="0"/>
        <charset val="1"/>
      </rPr>
      <t xml:space="preserve">/biz/balance, /biz/balance-status, /biz/charge-* </t>
    </r>
    <r>
      <rPr>
        <sz val="10"/>
        <rFont val="Noto Sans CJK SC"/>
        <family val="2"/>
      </rPr>
      <t xml:space="preserve">잔액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충전 플로우</t>
    </r>
    <r>
      <rPr>
        <sz val="10"/>
        <rFont val="Arial"/>
        <family val="0"/>
        <charset val="1"/>
      </rPr>
      <t xml:space="preserve">(PG-04</t>
    </r>
    <r>
      <rPr>
        <sz val="10"/>
        <rFont val="Noto Sans CJK SC"/>
        <family val="2"/>
      </rPr>
      <t xml:space="preserve">와 교차 참조</t>
    </r>
    <r>
      <rPr>
        <sz val="10"/>
        <rFont val="Arial"/>
        <family val="0"/>
        <charset val="1"/>
      </rPr>
      <t xml:space="preserve">)</t>
    </r>
  </si>
  <si>
    <t xml:space="preserve">worker.js /biz/balance*, /biz/charge*</t>
  </si>
  <si>
    <r>
      <rPr>
        <sz val="10"/>
        <rFont val="Noto Sans CJK SC"/>
        <family val="2"/>
      </rPr>
      <t xml:space="preserve">잔액 조회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충전 정확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동시 충전 경합 없음</t>
    </r>
  </si>
  <si>
    <r>
      <rPr>
        <sz val="10"/>
        <rFont val="Arial"/>
        <family val="0"/>
        <charset val="1"/>
      </rPr>
      <t xml:space="preserve">PG-04</t>
    </r>
    <r>
      <rPr>
        <sz val="10"/>
        <rFont val="Noto Sans CJK SC"/>
        <family val="2"/>
      </rPr>
      <t xml:space="preserve">와 중복 방지 위해 함께 진행</t>
    </r>
  </si>
  <si>
    <t xml:space="preserve">BZ-03</t>
  </si>
  <si>
    <r>
      <rPr>
        <sz val="10"/>
        <rFont val="Noto Sans CJK SC"/>
        <family val="2"/>
      </rPr>
      <t xml:space="preserve">배송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이행</t>
    </r>
  </si>
  <si>
    <r>
      <rPr>
        <sz val="10"/>
        <rFont val="Arial"/>
        <family val="0"/>
        <charset val="1"/>
      </rPr>
      <t xml:space="preserve">/biz/delivery-request </t>
    </r>
    <r>
      <rPr>
        <sz val="10"/>
        <rFont val="Noto Sans CJK SC"/>
        <family val="2"/>
      </rPr>
      <t xml:space="preserve">배달의민족 등 외주 배달 연동</t>
    </r>
  </si>
  <si>
    <t xml:space="preserve">worker.js /biz/delivery-request</t>
  </si>
  <si>
    <r>
      <rPr>
        <sz val="10"/>
        <rFont val="Noto Sans CJK SC"/>
        <family val="2"/>
      </rPr>
      <t xml:space="preserve">주문</t>
    </r>
    <r>
      <rPr>
        <sz val="10"/>
        <rFont val="Arial"/>
        <family val="0"/>
        <charset val="1"/>
      </rPr>
      <t xml:space="preserve">~</t>
    </r>
    <r>
      <rPr>
        <sz val="10"/>
        <rFont val="Noto Sans CJK SC"/>
        <family val="2"/>
      </rPr>
      <t xml:space="preserve">배달 상태 정합</t>
    </r>
  </si>
  <si>
    <r>
      <rPr>
        <sz val="10"/>
        <rFont val="Noto Sans CJK SC"/>
        <family val="2"/>
      </rPr>
      <t xml:space="preserve">혼디 메신저 데모 시나리오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더블 불고기버거 예시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와 연관</t>
    </r>
  </si>
  <si>
    <t xml:space="preserve">BZ-04</t>
  </si>
  <si>
    <t xml:space="preserve">정산</t>
  </si>
  <si>
    <r>
      <rPr>
        <sz val="10"/>
        <rFont val="Arial"/>
        <family val="0"/>
        <charset val="1"/>
      </rPr>
      <t xml:space="preserve">/biz/finance/revenue-report, /biz/financials </t>
    </r>
    <r>
      <rPr>
        <sz val="10"/>
        <rFont val="Noto Sans CJK SC"/>
        <family val="2"/>
      </rPr>
      <t xml:space="preserve">재무 리포트 정확성</t>
    </r>
  </si>
  <si>
    <t xml:space="preserve">worker.js /biz/finance*, /biz/financials</t>
  </si>
  <si>
    <r>
      <rPr>
        <sz val="10"/>
        <rFont val="Noto Sans CJK SC"/>
        <family val="2"/>
      </rPr>
      <t xml:space="preserve">리포트 수치가 원장</t>
    </r>
    <r>
      <rPr>
        <sz val="10"/>
        <rFont val="Arial"/>
        <family val="0"/>
        <charset val="1"/>
      </rPr>
      <t xml:space="preserve">(ledger)</t>
    </r>
    <r>
      <rPr>
        <sz val="10"/>
        <rFont val="Noto Sans CJK SC"/>
        <family val="2"/>
      </rPr>
      <t xml:space="preserve">과 일치</t>
    </r>
  </si>
  <si>
    <t xml:space="preserve">BZ-05</t>
  </si>
  <si>
    <t xml:space="preserve">가입보너스</t>
  </si>
  <si>
    <r>
      <rPr>
        <sz val="10"/>
        <rFont val="Arial"/>
        <family val="0"/>
        <charset val="1"/>
      </rPr>
      <t xml:space="preserve">/biz/admin/signup-bonus-retry </t>
    </r>
    <r>
      <rPr>
        <sz val="10"/>
        <rFont val="Noto Sans CJK SC"/>
        <family val="2"/>
      </rPr>
      <t xml:space="preserve">가입 보너스 재시도 로직</t>
    </r>
  </si>
  <si>
    <t xml:space="preserve">worker.js /biz/admin/signup-bonus-retry</t>
  </si>
  <si>
    <r>
      <rPr>
        <sz val="10"/>
        <rFont val="Noto Sans CJK SC"/>
        <family val="2"/>
      </rPr>
      <t xml:space="preserve">실패한 보너스 지급만 재시도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중복 지급 없음</t>
    </r>
  </si>
  <si>
    <t xml:space="preserve">BZ-06</t>
  </si>
  <si>
    <t xml:space="preserve">이의제기</t>
  </si>
  <si>
    <r>
      <rPr>
        <sz val="10"/>
        <rFont val="Arial"/>
        <family val="0"/>
        <charset val="1"/>
      </rPr>
      <t xml:space="preserve">/biz/escalate, /biz/claims, /biz/claims/ack </t>
    </r>
    <r>
      <rPr>
        <sz val="10"/>
        <rFont val="Noto Sans CJK SC"/>
        <family val="2"/>
      </rPr>
      <t xml:space="preserve">이의제기</t>
    </r>
    <r>
      <rPr>
        <sz val="10"/>
        <rFont val="Arial"/>
        <family val="0"/>
        <charset val="1"/>
      </rPr>
      <t xml:space="preserve">~ACK </t>
    </r>
    <r>
      <rPr>
        <sz val="10"/>
        <rFont val="Noto Sans CJK SC"/>
        <family val="2"/>
      </rPr>
      <t xml:space="preserve">플로우</t>
    </r>
  </si>
  <si>
    <t xml:space="preserve">worker.js /biz/escalate, /biz/claims*</t>
  </si>
  <si>
    <t xml:space="preserve">이의제기 상태 전이 정확</t>
  </si>
  <si>
    <t xml:space="preserve">BZ-07</t>
  </si>
  <si>
    <t xml:space="preserve">수수료</t>
  </si>
  <si>
    <r>
      <rPr>
        <sz val="10"/>
        <rFont val="Arial"/>
        <family val="0"/>
        <charset val="1"/>
      </rPr>
      <t xml:space="preserve">/biz/fee-rate </t>
    </r>
    <r>
      <rPr>
        <sz val="10"/>
        <rFont val="Noto Sans CJK SC"/>
        <family val="2"/>
      </rPr>
      <t xml:space="preserve">수수료율 조회 및 적용</t>
    </r>
  </si>
  <si>
    <t xml:space="preserve">worker.js /biz/fee-rate</t>
  </si>
  <si>
    <t xml:space="preserve">실제 거래에 적용된 수수료율이 조회값과 일치</t>
  </si>
  <si>
    <t xml:space="preserve">BZ-08</t>
  </si>
  <si>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채팅</t>
    </r>
  </si>
  <si>
    <r>
      <rPr>
        <sz val="10"/>
        <rFont val="Arial"/>
        <family val="0"/>
        <charset val="1"/>
      </rPr>
      <t xml:space="preserve">/biz/ai-chat — </t>
    </r>
    <r>
      <rPr>
        <sz val="10"/>
        <rFont val="Noto Sans CJK SC"/>
        <family val="2"/>
      </rPr>
      <t xml:space="preserve">사업자 전용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채팅 경로가 일반 </t>
    </r>
    <r>
      <rPr>
        <sz val="10"/>
        <rFont val="Arial"/>
        <family val="0"/>
        <charset val="1"/>
      </rPr>
      <t xml:space="preserve">/ai/chat</t>
    </r>
    <r>
      <rPr>
        <sz val="10"/>
        <rFont val="Noto Sans CJK SC"/>
        <family val="2"/>
      </rPr>
      <t xml:space="preserve">과 동일하게 관제탑 원칙 적용받는지</t>
    </r>
  </si>
  <si>
    <t xml:space="preserve">worker.js /biz/ai-chat vs /ai/chat(CT-02)</t>
  </si>
  <si>
    <r>
      <rPr>
        <sz val="10"/>
        <rFont val="Noto Sans CJK SC"/>
        <family val="2"/>
      </rPr>
      <t xml:space="preserve">두 경로 모두 </t>
    </r>
    <r>
      <rPr>
        <sz val="10"/>
        <rFont val="Arial"/>
        <family val="0"/>
        <charset val="1"/>
      </rPr>
      <t xml:space="preserve">UNIVERSAL </t>
    </r>
    <r>
      <rPr>
        <sz val="10"/>
        <rFont val="Noto Sans CJK SC"/>
        <family val="2"/>
      </rPr>
      <t xml:space="preserve">레이어 주입 일관</t>
    </r>
  </si>
  <si>
    <r>
      <rPr>
        <sz val="10"/>
        <rFont val="Arial"/>
        <family val="0"/>
        <charset val="1"/>
      </rPr>
      <t xml:space="preserve">CT-01 </t>
    </r>
    <r>
      <rPr>
        <sz val="10"/>
        <rFont val="Noto Sans CJK SC"/>
        <family val="2"/>
      </rPr>
      <t xml:space="preserve">전수조사에서 반드시 포함해야 할 후보 경로</t>
    </r>
  </si>
  <si>
    <t xml:space="preserve">SAT-00</t>
  </si>
  <si>
    <t xml:space="preserve">인벤토리</t>
  </si>
  <si>
    <r>
      <rPr>
        <sz val="10"/>
        <rFont val="Arial"/>
        <family val="0"/>
        <charset val="1"/>
      </rPr>
      <t xml:space="preserve">tools/check_wallet_sync.py</t>
    </r>
    <r>
      <rPr>
        <sz val="10"/>
        <rFont val="Noto Sans CJK SC"/>
        <family val="2"/>
      </rPr>
      <t xml:space="preserve">에 등록된 위성 저장소 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개 목록 최신성 확인 — 실제 </t>
    </r>
    <r>
      <rPr>
        <sz val="10"/>
        <rFont val="Arial"/>
        <family val="0"/>
        <charset val="1"/>
      </rPr>
      <t xml:space="preserve">Openhash-Gopang org</t>
    </r>
    <r>
      <rPr>
        <sz val="10"/>
        <rFont val="Noto Sans CJK SC"/>
        <family val="2"/>
      </rPr>
      <t xml:space="preserve">의 전체 레포 수</t>
    </r>
    <r>
      <rPr>
        <sz val="10"/>
        <rFont val="Arial"/>
        <family val="0"/>
        <charset val="1"/>
      </rPr>
      <t xml:space="preserve">(18+)</t>
    </r>
    <r>
      <rPr>
        <sz val="10"/>
        <rFont val="Noto Sans CJK SC"/>
        <family val="2"/>
      </rPr>
      <t xml:space="preserve">와 일치하는지</t>
    </r>
  </si>
  <si>
    <r>
      <rPr>
        <sz val="10"/>
        <rFont val="Noto Sans CJK SC"/>
        <family val="2"/>
      </rPr>
      <t xml:space="preserve">등록 목록</t>
    </r>
    <r>
      <rPr>
        <sz val="10"/>
        <rFont val="Arial"/>
        <family val="0"/>
        <charset val="1"/>
      </rPr>
      <t xml:space="preserve">: 911, democracy, gdc, health, insurance, jeju, klaw, logistics, market, police, public, qna, school, security, stock, tax, traffic, users</t>
    </r>
  </si>
  <si>
    <r>
      <rPr>
        <sz val="10"/>
        <rFont val="Arial"/>
        <family val="0"/>
        <charset val="1"/>
      </rPr>
      <t xml:space="preserve">org </t>
    </r>
    <r>
      <rPr>
        <sz val="10"/>
        <rFont val="Noto Sans CJK SC"/>
        <family val="2"/>
      </rPr>
      <t xml:space="preserve">실제 레포 목록 대비 누락된 위성이 없음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신규 서비스 추가 시 이 리스트도 갱신됐는지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</si>
  <si>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check_wallet_sync.py </t>
    </r>
    <r>
      <rPr>
        <sz val="10"/>
        <rFont val="Noto Sans CJK SC"/>
        <family val="2"/>
      </rPr>
      <t xml:space="preserve">자체 주석에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검증 못한 나머지 위성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명시돼 있음 — 이 항목이 그 미완 확인 작업</t>
    </r>
  </si>
  <si>
    <t xml:space="preserve">SAT-01</t>
  </si>
  <si>
    <r>
      <rPr>
        <sz val="10"/>
        <rFont val="Arial"/>
        <family val="0"/>
        <charset val="1"/>
      </rPr>
      <t xml:space="preserve">wallet</t>
    </r>
    <r>
      <rPr>
        <sz val="10"/>
        <rFont val="Noto Sans CJK SC"/>
        <family val="2"/>
      </rPr>
      <t xml:space="preserve">동기화</t>
    </r>
  </si>
  <si>
    <r>
      <rPr>
        <sz val="10"/>
        <rFont val="Arial"/>
        <family val="0"/>
        <charset val="1"/>
      </rPr>
      <t xml:space="preserve">gopang-wallet.js sha256 </t>
    </r>
    <r>
      <rPr>
        <sz val="10"/>
        <rFont val="Noto Sans CJK SC"/>
        <family val="2"/>
      </rPr>
      <t xml:space="preserve">해시 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개 위성 전수 일치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기존 </t>
    </r>
    <r>
      <rPr>
        <sz val="10"/>
        <rFont val="Arial"/>
        <family val="0"/>
        <charset val="1"/>
      </rPr>
      <t xml:space="preserve">CI </t>
    </r>
    <r>
      <rPr>
        <sz val="10"/>
        <rFont val="Noto Sans CJK SC"/>
        <family val="2"/>
      </rPr>
      <t xml:space="preserve">결과 신뢰도 재확인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</si>
  <si>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check-wallet-sync.yml </t>
    </r>
    <r>
      <rPr>
        <sz val="10"/>
        <rFont val="Noto Sans CJK SC"/>
        <family val="2"/>
      </rPr>
      <t xml:space="preserve">매일 </t>
    </r>
    <r>
      <rPr>
        <sz val="10"/>
        <rFont val="Arial"/>
        <family val="0"/>
        <charset val="1"/>
      </rPr>
      <t xml:space="preserve">06:00 KST </t>
    </r>
    <r>
      <rPr>
        <sz val="10"/>
        <rFont val="Noto Sans CJK SC"/>
        <family val="2"/>
      </rPr>
      <t xml:space="preserve">스케줄 결과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수동 재실행</t>
    </r>
  </si>
  <si>
    <r>
      <rPr>
        <sz val="10"/>
        <rFont val="Noto Sans CJK SC"/>
        <family val="2"/>
      </rPr>
      <t xml:space="preserve">전 위성 해시 일치</t>
    </r>
    <r>
      <rPr>
        <sz val="10"/>
        <rFont val="Arial"/>
        <family val="0"/>
        <charset val="1"/>
      </rPr>
      <t xml:space="preserve">, 2026-07-22 '</t>
    </r>
    <r>
      <rPr>
        <sz val="10"/>
        <rFont val="Noto Sans CJK SC"/>
        <family val="2"/>
      </rPr>
      <t xml:space="preserve">완료 기록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실제 드리프트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재발 없음</t>
    </r>
  </si>
  <si>
    <t xml:space="preserve">SAT-02</t>
  </si>
  <si>
    <r>
      <rPr>
        <sz val="10"/>
        <rFont val="Arial"/>
        <family val="0"/>
        <charset val="1"/>
      </rPr>
      <t xml:space="preserve">GWP</t>
    </r>
    <r>
      <rPr>
        <sz val="10"/>
        <rFont val="Noto Sans CJK SC"/>
        <family val="2"/>
      </rPr>
      <t xml:space="preserve">패턴전파</t>
    </r>
  </si>
  <si>
    <r>
      <rPr>
        <sz val="10"/>
        <rFont val="Noto Sans CJK SC"/>
        <family val="2"/>
      </rPr>
      <t xml:space="preserve">이번 세션 발견한 </t>
    </r>
    <r>
      <rPr>
        <sz val="10"/>
        <rFont val="Arial"/>
        <family val="0"/>
        <charset val="1"/>
      </rPr>
      <t xml:space="preserve">'url:null GWP </t>
    </r>
    <r>
      <rPr>
        <sz val="10"/>
        <rFont val="Noto Sans CJK SC"/>
        <family val="2"/>
      </rPr>
      <t xml:space="preserve">항목이 구식 </t>
    </r>
    <r>
      <rPr>
        <sz val="10"/>
        <rFont val="Arial"/>
        <family val="0"/>
        <charset val="1"/>
      </rPr>
      <t xml:space="preserve">[GWP:id]</t>
    </r>
    <r>
      <rPr>
        <sz val="10"/>
        <rFont val="Noto Sans CJK SC"/>
        <family val="2"/>
      </rPr>
      <t xml:space="preserve">로 호출되면 </t>
    </r>
    <r>
      <rPr>
        <sz val="10"/>
        <rFont val="Arial"/>
        <family val="0"/>
        <charset val="1"/>
      </rPr>
      <t xml:space="preserve">orphan </t>
    </r>
    <r>
      <rPr>
        <sz val="10"/>
        <rFont val="Noto Sans CJK SC"/>
        <family val="2"/>
      </rPr>
      <t xml:space="preserve">사고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패턴이 위성 저장소 자체 </t>
    </r>
    <r>
      <rPr>
        <sz val="10"/>
        <rFont val="Arial"/>
        <family val="0"/>
        <charset val="1"/>
      </rPr>
      <t xml:space="preserve">GWP </t>
    </r>
    <r>
      <rPr>
        <sz val="10"/>
        <rFont val="Noto Sans CJK SC"/>
        <family val="2"/>
      </rPr>
      <t xml:space="preserve">유사 로직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Arial"/>
        <family val="0"/>
        <charset val="1"/>
      </rPr>
      <t xml:space="preserve">: market</t>
    </r>
    <r>
      <rPr>
        <sz val="10"/>
        <rFont val="Noto Sans CJK SC"/>
        <family val="2"/>
      </rPr>
      <t xml:space="preserve">의 </t>
    </r>
    <r>
      <rPr>
        <sz val="10"/>
        <rFont val="Arial"/>
        <family val="0"/>
        <charset val="1"/>
      </rPr>
      <t xml:space="preserve">nested [CALL_KSEARCH])</t>
    </r>
    <r>
      <rPr>
        <sz val="10"/>
        <rFont val="Noto Sans CJK SC"/>
        <family val="2"/>
      </rPr>
      <t xml:space="preserve">에도 있는지</t>
    </r>
  </si>
  <si>
    <r>
      <rPr>
        <sz val="10"/>
        <rFont val="Arial"/>
        <family val="0"/>
        <charset val="1"/>
      </rPr>
      <t xml:space="preserve">market </t>
    </r>
    <r>
      <rPr>
        <sz val="10"/>
        <rFont val="Noto Sans CJK SC"/>
        <family val="2"/>
      </rPr>
      <t xml:space="preserve">레포 </t>
    </r>
    <r>
      <rPr>
        <sz val="10"/>
        <rFont val="Arial"/>
        <family val="0"/>
        <charset val="1"/>
      </rPr>
      <t xml:space="preserve">[CALL_KSEARCH] </t>
    </r>
    <r>
      <rPr>
        <sz val="10"/>
        <rFont val="Noto Sans CJK SC"/>
        <family val="2"/>
      </rPr>
      <t xml:space="preserve">자체 구현부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허브 </t>
    </r>
    <r>
      <rPr>
        <sz val="10"/>
        <rFont val="Arial"/>
        <family val="0"/>
        <charset val="1"/>
      </rPr>
      <t xml:space="preserve">gwp-registry.js </t>
    </r>
    <r>
      <rPr>
        <sz val="10"/>
        <rFont val="Noto Sans CJK SC"/>
        <family val="2"/>
      </rPr>
      <t xml:space="preserve">등록과 무관</t>
    </r>
    <r>
      <rPr>
        <sz val="10"/>
        <rFont val="Arial"/>
        <family val="0"/>
        <charset val="1"/>
      </rPr>
      <t xml:space="preserve">, market </t>
    </r>
    <r>
      <rPr>
        <sz val="10"/>
        <rFont val="Noto Sans CJK SC"/>
        <family val="2"/>
      </rPr>
      <t xml:space="preserve">레포 자체 구현이라는 주석 근거</t>
    </r>
    <r>
      <rPr>
        <sz val="10"/>
        <rFont val="Arial"/>
        <family val="0"/>
        <charset val="1"/>
      </rPr>
      <t xml:space="preserve">)</t>
    </r>
  </si>
  <si>
    <t xml:space="preserve">동일 클래스 사고 재현 안 됨</t>
  </si>
  <si>
    <r>
      <rPr>
        <sz val="10"/>
        <rFont val="Arial"/>
        <family val="0"/>
        <charset val="1"/>
      </rPr>
      <t xml:space="preserve">RT-01</t>
    </r>
    <r>
      <rPr>
        <sz val="10"/>
        <rFont val="Noto Sans CJK SC"/>
        <family val="2"/>
      </rPr>
      <t xml:space="preserve">의 위성 확장판</t>
    </r>
  </si>
  <si>
    <t xml:space="preserve">SAT-03</t>
  </si>
  <si>
    <t xml:space="preserve">관제탑원칙전파</t>
  </si>
  <si>
    <r>
      <rPr>
        <sz val="10"/>
        <rFont val="Noto Sans CJK SC"/>
        <family val="2"/>
      </rPr>
      <t xml:space="preserve">허브에서 발견된 </t>
    </r>
    <r>
      <rPr>
        <sz val="10"/>
        <rFont val="Arial"/>
        <family val="0"/>
        <charset val="1"/>
      </rPr>
      <t xml:space="preserve">CONTROL-TOWER-PRINCIPLE </t>
    </r>
    <r>
      <rPr>
        <sz val="10"/>
        <rFont val="Noto Sans CJK SC"/>
        <family val="2"/>
      </rPr>
      <t xml:space="preserve">누락 패턴</t>
    </r>
    <r>
      <rPr>
        <sz val="10"/>
        <rFont val="Arial"/>
        <family val="0"/>
        <charset val="1"/>
      </rPr>
      <t xml:space="preserve">(handleAIChat</t>
    </r>
    <r>
      <rPr>
        <sz val="10"/>
        <rFont val="Noto Sans CJK SC"/>
        <family val="2"/>
      </rPr>
      <t xml:space="preserve">류 패스스루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이 </t>
    </r>
    <r>
      <rPr>
        <sz val="10"/>
        <rFont val="Arial"/>
        <family val="0"/>
        <charset val="1"/>
      </rPr>
      <t xml:space="preserve">klaw/market/school </t>
    </r>
    <r>
      <rPr>
        <sz val="10"/>
        <rFont val="Noto Sans CJK SC"/>
        <family val="2"/>
      </rPr>
      <t xml:space="preserve">등 자체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채팅 경로를 가진 위성에도 있는지</t>
    </r>
  </si>
  <si>
    <r>
      <rPr>
        <sz val="10"/>
        <rFont val="Noto Sans CJK SC"/>
        <family val="2"/>
      </rPr>
      <t xml:space="preserve">각 위성의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채팅 핸들러 </t>
    </r>
    <r>
      <rPr>
        <sz val="10"/>
        <rFont val="Arial"/>
        <family val="0"/>
        <charset val="1"/>
      </rPr>
      <t xml:space="preserve">grep 'CONTROL-TOWER-PRINCIPLE'</t>
    </r>
  </si>
  <si>
    <r>
      <rPr>
        <sz val="10"/>
        <rFont val="Noto Sans CJK SC"/>
        <family val="2"/>
      </rPr>
      <t xml:space="preserve">위성 자체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경로도 관제탑 원칙 포함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또는 애초에 허브 </t>
    </r>
    <r>
      <rPr>
        <sz val="10"/>
        <rFont val="Arial"/>
        <family val="0"/>
        <charset val="1"/>
      </rPr>
      <t xml:space="preserve">AC </t>
    </r>
    <r>
      <rPr>
        <sz val="10"/>
        <rFont val="Noto Sans CJK SC"/>
        <family val="2"/>
      </rPr>
      <t xml:space="preserve">경유만 하는 구조라 해당없음 확인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</si>
  <si>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CT-01</t>
    </r>
    <r>
      <rPr>
        <sz val="10"/>
        <rFont val="Noto Sans CJK SC"/>
        <family val="2"/>
      </rPr>
      <t xml:space="preserve">과 함께 진행 — 허브만 고치고 위성이 사각지대로 남는 걸 방지</t>
    </r>
  </si>
  <si>
    <t xml:space="preserve">SAT-04</t>
  </si>
  <si>
    <r>
      <rPr>
        <sz val="10"/>
        <rFont val="Arial"/>
        <family val="0"/>
        <charset val="1"/>
      </rPr>
      <t xml:space="preserve">SSO</t>
    </r>
    <r>
      <rPr>
        <sz val="10"/>
        <rFont val="Noto Sans CJK SC"/>
        <family val="2"/>
      </rPr>
      <t xml:space="preserve">연동</t>
    </r>
  </si>
  <si>
    <r>
      <rPr>
        <sz val="10"/>
        <rFont val="Noto Sans CJK SC"/>
        <family val="2"/>
      </rPr>
      <t xml:space="preserve">각 위성이 </t>
    </r>
    <r>
      <rPr>
        <sz val="10"/>
        <rFont val="Arial"/>
        <family val="0"/>
        <charset val="1"/>
      </rPr>
      <t xml:space="preserve">README.md §1 '3</t>
    </r>
    <r>
      <rPr>
        <sz val="10"/>
        <rFont val="Noto Sans CJK SC"/>
        <family val="2"/>
      </rPr>
      <t xml:space="preserve">줄 통합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그대로 </t>
    </r>
    <r>
      <rPr>
        <sz val="10"/>
        <rFont val="Arial"/>
        <family val="0"/>
        <charset val="1"/>
      </rPr>
      <t xml:space="preserve">gopang-sso.js</t>
    </r>
    <r>
      <rPr>
        <sz val="10"/>
        <rFont val="Noto Sans CJK SC"/>
        <family val="2"/>
      </rPr>
      <t xml:space="preserve">를 최신 버전으로 참조하는지</t>
    </r>
  </si>
  <si>
    <r>
      <rPr>
        <sz val="10"/>
        <rFont val="Noto Sans CJK SC"/>
        <family val="2"/>
      </rPr>
      <t xml:space="preserve">신규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수동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샘플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</si>
  <si>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각 위성 </t>
    </r>
    <r>
      <rPr>
        <sz val="10"/>
        <rFont val="Arial"/>
        <family val="0"/>
        <charset val="1"/>
      </rPr>
      <t xml:space="preserve">HTML</t>
    </r>
    <r>
      <rPr>
        <sz val="10"/>
        <rFont val="Noto Sans CJK SC"/>
        <family val="2"/>
      </rPr>
      <t xml:space="preserve">의 </t>
    </r>
    <r>
      <rPr>
        <sz val="10"/>
        <rFont val="Arial"/>
        <family val="0"/>
        <charset val="1"/>
      </rPr>
      <t xml:space="preserve">&lt;script type=module&gt; import </t>
    </r>
    <r>
      <rPr>
        <sz val="10"/>
        <rFont val="Noto Sans CJK SC"/>
        <family val="2"/>
      </rPr>
      <t xml:space="preserve">구문</t>
    </r>
    <r>
      <rPr>
        <sz val="10"/>
        <rFont val="Arial"/>
        <family val="0"/>
        <charset val="1"/>
      </rPr>
      <t xml:space="preserve">, 3~5</t>
    </r>
    <r>
      <rPr>
        <sz val="10"/>
        <rFont val="Noto Sans CJK SC"/>
        <family val="2"/>
      </rPr>
      <t xml:space="preserve">곳 샘플</t>
    </r>
  </si>
  <si>
    <r>
      <rPr>
        <sz val="10"/>
        <rFont val="Noto Sans CJK SC"/>
        <family val="2"/>
      </rPr>
      <t xml:space="preserve">고정 버전 </t>
    </r>
    <r>
      <rPr>
        <sz val="10"/>
        <rFont val="Arial"/>
        <family val="0"/>
        <charset val="1"/>
      </rPr>
      <t xml:space="preserve">URL</t>
    </r>
    <r>
      <rPr>
        <sz val="10"/>
        <rFont val="Noto Sans CJK SC"/>
        <family val="2"/>
      </rPr>
      <t xml:space="preserve">이 아니라 </t>
    </r>
    <r>
      <rPr>
        <sz val="10"/>
        <rFont val="Arial"/>
        <family val="0"/>
        <charset val="1"/>
      </rPr>
      <t xml:space="preserve">https://hondi.net/auth/gopang-sso.js(</t>
    </r>
    <r>
      <rPr>
        <sz val="10"/>
        <rFont val="Noto Sans CJK SC"/>
        <family val="2"/>
      </rPr>
      <t xml:space="preserve">최신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참조</t>
    </r>
  </si>
  <si>
    <t xml:space="preserve">SAT-05</t>
  </si>
  <si>
    <t xml:space="preserve">manifest.json</t>
  </si>
  <si>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개 위성 각각의 </t>
    </r>
    <r>
      <rPr>
        <sz val="10"/>
        <rFont val="Arial"/>
        <family val="0"/>
        <charset val="1"/>
      </rPr>
      <t xml:space="preserve">services/*/manifest.json</t>
    </r>
    <r>
      <rPr>
        <sz val="10"/>
        <rFont val="Noto Sans CJK SC"/>
        <family val="2"/>
      </rPr>
      <t xml:space="preserve">이 허브 서비스 등록 기준과 일치</t>
    </r>
  </si>
  <si>
    <r>
      <rPr>
        <sz val="10"/>
        <rFont val="Arial"/>
        <family val="0"/>
        <charset val="1"/>
      </rPr>
      <t xml:space="preserve">services/klaw/manifest.json, services/fiil-kcleaner/manifest.json </t>
    </r>
    <r>
      <rPr>
        <sz val="10"/>
        <rFont val="Noto Sans CJK SC"/>
        <family val="2"/>
      </rPr>
      <t xml:space="preserve">등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위성 자체 </t>
    </r>
    <r>
      <rPr>
        <sz val="10"/>
        <rFont val="Arial"/>
        <family val="0"/>
        <charset val="1"/>
      </rPr>
      <t xml:space="preserve">manifest</t>
    </r>
  </si>
  <si>
    <r>
      <rPr>
        <sz val="10"/>
        <rFont val="Noto Sans CJK SC"/>
        <family val="2"/>
      </rPr>
      <t xml:space="preserve">레벨</t>
    </r>
    <r>
      <rPr>
        <sz val="10"/>
        <rFont val="Arial"/>
        <family val="0"/>
        <charset val="1"/>
      </rPr>
      <t xml:space="preserve">(Level 1/2/3) </t>
    </r>
    <r>
      <rPr>
        <sz val="10"/>
        <rFont val="Noto Sans CJK SC"/>
        <family val="2"/>
      </rPr>
      <t xml:space="preserve">표기 및 서비스 </t>
    </r>
    <r>
      <rPr>
        <sz val="10"/>
        <rFont val="Arial"/>
        <family val="0"/>
        <charset val="1"/>
      </rPr>
      <t xml:space="preserve">ID </t>
    </r>
    <r>
      <rPr>
        <sz val="10"/>
        <rFont val="Noto Sans CJK SC"/>
        <family val="2"/>
      </rPr>
      <t xml:space="preserve">일치</t>
    </r>
  </si>
  <si>
    <t xml:space="preserve">UI-01</t>
  </si>
  <si>
    <t xml:space="preserve">desktop.html</t>
  </si>
  <si>
    <r>
      <rPr>
        <sz val="10"/>
        <rFont val="Noto Sans CJK SC"/>
        <family val="2"/>
      </rPr>
      <t xml:space="preserve">사이드바 체계적 개선 작업 회귀 — 최근 세션들의 </t>
    </r>
    <r>
      <rPr>
        <sz val="10"/>
        <rFont val="Arial"/>
        <family val="0"/>
        <charset val="1"/>
      </rPr>
      <t xml:space="preserve">UI </t>
    </r>
    <r>
      <rPr>
        <sz val="10"/>
        <rFont val="Noto Sans CJK SC"/>
        <family val="2"/>
      </rPr>
      <t xml:space="preserve">개선이 서로 충돌 없이 누적됐는지</t>
    </r>
  </si>
  <si>
    <r>
      <rPr>
        <sz val="10"/>
        <rFont val="Arial"/>
        <family val="0"/>
        <charset val="1"/>
      </rPr>
      <t xml:space="preserve">desktop.html </t>
    </r>
    <r>
      <rPr>
        <sz val="10"/>
        <rFont val="Noto Sans CJK SC"/>
        <family val="2"/>
      </rPr>
      <t xml:space="preserve">사이드바 섹션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개발자 문서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이용 시나리오 등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</si>
  <si>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육안 확인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링크 클릭 전수</t>
    </r>
  </si>
  <si>
    <t xml:space="preserve">UI-02</t>
  </si>
  <si>
    <t xml:space="preserve">개발자문서</t>
  </si>
  <si>
    <r>
      <rPr>
        <sz val="10"/>
        <rFont val="Arial"/>
        <family val="0"/>
        <charset val="1"/>
      </rPr>
      <t xml:space="preserve">'🛠 </t>
    </r>
    <r>
      <rPr>
        <sz val="10"/>
        <rFont val="Noto Sans CJK SC"/>
        <family val="2"/>
      </rPr>
      <t xml:space="preserve">개발자 문서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서브메뉴 링크 전체가 실제 존재하는 </t>
    </r>
    <r>
      <rPr>
        <sz val="10"/>
        <rFont val="Arial"/>
        <family val="0"/>
        <charset val="1"/>
      </rPr>
      <t xml:space="preserve">docs/*.html</t>
    </r>
    <r>
      <rPr>
        <sz val="10"/>
        <rFont val="Noto Sans CJK SC"/>
        <family val="2"/>
      </rPr>
      <t xml:space="preserve">을 정확히 가리키는지</t>
    </r>
  </si>
  <si>
    <r>
      <rPr>
        <sz val="10"/>
        <rFont val="Arial"/>
        <family val="0"/>
        <charset val="1"/>
      </rPr>
      <t xml:space="preserve">desktop.html </t>
    </r>
    <r>
      <rPr>
        <sz val="10"/>
        <rFont val="Noto Sans CJK SC"/>
        <family val="2"/>
      </rPr>
      <t xml:space="preserve">개발자 문서 링크 목록 </t>
    </r>
    <r>
      <rPr>
        <sz val="10"/>
        <rFont val="Arial"/>
        <family val="0"/>
        <charset val="1"/>
      </rPr>
      <t xml:space="preserve">vs docs/ </t>
    </r>
    <r>
      <rPr>
        <sz val="10"/>
        <rFont val="Noto Sans CJK SC"/>
        <family val="2"/>
      </rPr>
      <t xml:space="preserve">실제 파일</t>
    </r>
  </si>
  <si>
    <r>
      <rPr>
        <sz val="10"/>
        <rFont val="Noto Sans CJK SC"/>
        <family val="2"/>
      </rPr>
      <t xml:space="preserve">깨진 링크</t>
    </r>
    <r>
      <rPr>
        <sz val="10"/>
        <rFont val="Arial"/>
        <family val="0"/>
        <charset val="1"/>
      </rPr>
      <t xml:space="preserve">(404) </t>
    </r>
    <r>
      <rPr>
        <sz val="10"/>
        <rFont val="Noto Sans CJK SC"/>
        <family val="2"/>
      </rPr>
      <t xml:space="preserve">없음</t>
    </r>
  </si>
  <si>
    <r>
      <rPr>
        <sz val="10"/>
        <rFont val="Arial"/>
        <family val="0"/>
        <charset val="1"/>
      </rPr>
      <t xml:space="preserve">SESSION_SUMMARY</t>
    </r>
    <r>
      <rPr>
        <sz val="10"/>
        <rFont val="Noto Sans CJK SC"/>
        <family val="2"/>
      </rPr>
      <t xml:space="preserve">류 문서가 계속 추가되므로 주기적 재확인 필요</t>
    </r>
  </si>
  <si>
    <t xml:space="preserve">UI-03</t>
  </si>
  <si>
    <t xml:space="preserve">혼디숫자코드</t>
  </si>
  <si>
    <r>
      <rPr>
        <sz val="10"/>
        <rFont val="Noto Sans CJK SC"/>
        <family val="2"/>
      </rPr>
      <t xml:space="preserve">색상 코드→숫자 코드 전환 완료 회귀</t>
    </r>
    <r>
      <rPr>
        <sz val="10"/>
        <rFont val="Arial"/>
        <family val="0"/>
        <charset val="1"/>
      </rPr>
      <t xml:space="preserve">(hondi-digit-code.js, hondi-digit-scanner.js)</t>
    </r>
  </si>
  <si>
    <t xml:space="preserve">test-hondi-digit-code.html, hondi-digit-test.html</t>
  </si>
  <si>
    <r>
      <rPr>
        <sz val="10"/>
        <rFont val="Noto Sans CJK SC"/>
        <family val="2"/>
      </rPr>
      <t xml:space="preserve">전 </t>
    </r>
    <r>
      <rPr>
        <sz val="10"/>
        <rFont val="Arial"/>
        <family val="0"/>
        <charset val="1"/>
      </rPr>
      <t xml:space="preserve">UI</t>
    </r>
    <r>
      <rPr>
        <sz val="10"/>
        <rFont val="Noto Sans CJK SC"/>
        <family val="2"/>
      </rPr>
      <t xml:space="preserve">에서 색상 코드 잔재 없이 숫자 코드로 표시</t>
    </r>
  </si>
  <si>
    <t xml:space="preserve">UI-04</t>
  </si>
  <si>
    <t xml:space="preserve">요금제</t>
  </si>
  <si>
    <r>
      <rPr>
        <sz val="10"/>
        <rFont val="Noto Sans CJK SC"/>
        <family val="2"/>
      </rPr>
      <t xml:space="preserve">요금제 페이지 히어로 </t>
    </r>
    <r>
      <rPr>
        <sz val="10"/>
        <rFont val="Arial"/>
        <family val="0"/>
        <charset val="1"/>
      </rPr>
      <t xml:space="preserve">CTA </t>
    </r>
    <r>
      <rPr>
        <sz val="10"/>
        <rFont val="Noto Sans CJK SC"/>
        <family val="2"/>
      </rPr>
      <t xml:space="preserve">버튼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세금 신고 대행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준비 중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문구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최신 커밋 반영분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</si>
  <si>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최근 커밋 </t>
    </r>
    <r>
      <rPr>
        <sz val="10"/>
        <rFont val="Arial"/>
        <family val="0"/>
        <charset val="1"/>
      </rPr>
      <t xml:space="preserve">21d5f52, 8fd27dd </t>
    </r>
    <r>
      <rPr>
        <sz val="10"/>
        <rFont val="Noto Sans CJK SC"/>
        <family val="2"/>
      </rPr>
      <t xml:space="preserve">대상 페이지</t>
    </r>
  </si>
  <si>
    <r>
      <rPr>
        <sz val="10"/>
        <rFont val="Arial"/>
        <family val="0"/>
        <charset val="1"/>
      </rPr>
      <t xml:space="preserve">CTA </t>
    </r>
    <r>
      <rPr>
        <sz val="10"/>
        <rFont val="Noto Sans CJK SC"/>
        <family val="2"/>
      </rPr>
      <t xml:space="preserve">정상 동작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문구 정확</t>
    </r>
  </si>
  <si>
    <t xml:space="preserve">UI-05</t>
  </si>
  <si>
    <t xml:space="preserve">혼디숫자코드결제</t>
  </si>
  <si>
    <r>
      <rPr>
        <sz val="10"/>
        <rFont val="Noto Sans CJK SC"/>
        <family val="2"/>
      </rPr>
      <t xml:space="preserve">무수수료 결제</t>
    </r>
    <r>
      <rPr>
        <sz val="10"/>
        <rFont val="Arial"/>
        <family val="0"/>
        <charset val="1"/>
      </rPr>
      <t xml:space="preserve">(digit_code_id </t>
    </r>
    <r>
      <rPr>
        <sz val="10"/>
        <rFont val="Noto Sans CJK SC"/>
        <family val="2"/>
      </rPr>
      <t xml:space="preserve">재사용</t>
    </r>
    <r>
      <rPr>
        <sz val="10"/>
        <rFont val="Arial"/>
        <family val="0"/>
        <charset val="1"/>
      </rPr>
      <t xml:space="preserve">, sendGdc </t>
    </r>
    <r>
      <rPr>
        <sz val="10"/>
        <rFont val="Noto Sans CJK SC"/>
        <family val="2"/>
      </rPr>
      <t xml:space="preserve">연동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회귀</t>
    </r>
  </si>
  <si>
    <r>
      <rPr>
        <sz val="10"/>
        <rFont val="Noto Sans CJK SC"/>
        <family val="2"/>
      </rPr>
      <t xml:space="preserve">최근 커밋 </t>
    </r>
    <r>
      <rPr>
        <sz val="10"/>
        <rFont val="Arial"/>
        <family val="0"/>
        <charset val="1"/>
      </rPr>
      <t xml:space="preserve">8db5551 </t>
    </r>
    <r>
      <rPr>
        <sz val="10"/>
        <rFont val="Noto Sans CJK SC"/>
        <family val="2"/>
      </rPr>
      <t xml:space="preserve">관련 </t>
    </r>
    <r>
      <rPr>
        <sz val="10"/>
        <rFont val="Arial"/>
        <family val="0"/>
        <charset val="1"/>
      </rPr>
      <t xml:space="preserve">POS </t>
    </r>
    <r>
      <rPr>
        <sz val="10"/>
        <rFont val="Noto Sans CJK SC"/>
        <family val="2"/>
      </rPr>
      <t xml:space="preserve">플로우</t>
    </r>
  </si>
  <si>
    <r>
      <rPr>
        <sz val="10"/>
        <rFont val="Noto Sans CJK SC"/>
        <family val="2"/>
      </rPr>
      <t xml:space="preserve">결제 정상 완료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수수료 미부과 확인</t>
    </r>
  </si>
  <si>
    <t xml:space="preserve">UI-06</t>
  </si>
  <si>
    <t xml:space="preserve">모바일</t>
  </si>
  <si>
    <r>
      <rPr>
        <sz val="10"/>
        <rFont val="Noto Sans CJK SC"/>
        <family val="2"/>
      </rPr>
      <t xml:space="preserve">혼디 메신저 테스트 버전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스크린샷 </t>
    </r>
    <r>
      <rPr>
        <sz val="10"/>
        <rFont val="Arial"/>
        <family val="0"/>
        <charset val="1"/>
      </rPr>
      <t xml:space="preserve">UI) </t>
    </r>
    <r>
      <rPr>
        <sz val="10"/>
        <rFont val="Noto Sans CJK SC"/>
        <family val="2"/>
      </rPr>
      <t xml:space="preserve">모바일 뷰 회귀 — 이번 세션 </t>
    </r>
    <r>
      <rPr>
        <sz val="10"/>
        <rFont val="Arial"/>
        <family val="0"/>
        <charset val="1"/>
      </rPr>
      <t xml:space="preserve">GWP </t>
    </r>
    <r>
      <rPr>
        <sz val="10"/>
        <rFont val="Noto Sans CJK SC"/>
        <family val="2"/>
      </rPr>
      <t xml:space="preserve">수정 후 새 탭 동작</t>
    </r>
  </si>
  <si>
    <r>
      <rPr>
        <sz val="10"/>
        <rFont val="Arial"/>
        <family val="0"/>
        <charset val="1"/>
      </rPr>
      <t xml:space="preserve">webapp.html </t>
    </r>
    <r>
      <rPr>
        <sz val="10"/>
        <rFont val="Noto Sans CJK SC"/>
        <family val="2"/>
      </rPr>
      <t xml:space="preserve">모바일 뷰</t>
    </r>
    <r>
      <rPr>
        <sz val="10"/>
        <rFont val="Arial"/>
        <family val="0"/>
        <charset val="1"/>
      </rPr>
      <t xml:space="preserve">, RT-08 </t>
    </r>
    <r>
      <rPr>
        <sz val="10"/>
        <rFont val="Noto Sans CJK SC"/>
        <family val="2"/>
      </rPr>
      <t xml:space="preserve">시나리오와 동일 재현</t>
    </r>
  </si>
  <si>
    <r>
      <rPr>
        <sz val="10"/>
        <rFont val="Noto Sans CJK SC"/>
        <family val="2"/>
      </rPr>
      <t xml:space="preserve">빈 </t>
    </r>
    <r>
      <rPr>
        <sz val="10"/>
        <rFont val="Arial"/>
        <family val="0"/>
        <charset val="1"/>
      </rPr>
      <t xml:space="preserve">about:blank </t>
    </r>
    <r>
      <rPr>
        <sz val="10"/>
        <rFont val="Noto Sans CJK SC"/>
        <family val="2"/>
      </rPr>
      <t xml:space="preserve">탭 재발 없음</t>
    </r>
  </si>
  <si>
    <t xml:space="preserve">이 세션 전체의 출발점 재확인</t>
  </si>
  <si>
    <t xml:space="preserve">INC-01</t>
  </si>
  <si>
    <r>
      <rPr>
        <sz val="10"/>
        <rFont val="Arial"/>
        <family val="0"/>
        <charset val="1"/>
      </rPr>
      <t xml:space="preserve">GWP</t>
    </r>
    <r>
      <rPr>
        <sz val="10"/>
        <rFont val="Noto Sans CJK SC"/>
        <family val="2"/>
      </rPr>
      <t xml:space="preserve">사각지대</t>
    </r>
  </si>
  <si>
    <r>
      <rPr>
        <sz val="10"/>
        <rFont val="Arial"/>
        <family val="0"/>
        <charset val="1"/>
      </rPr>
      <t xml:space="preserve">type:tool/inline(tool-web-search, ksearch) GWP </t>
    </r>
    <r>
      <rPr>
        <sz val="10"/>
        <rFont val="Noto Sans CJK SC"/>
        <family val="2"/>
      </rPr>
      <t xml:space="preserve">항목이 구식 </t>
    </r>
    <r>
      <rPr>
        <sz val="10"/>
        <rFont val="Arial"/>
        <family val="0"/>
        <charset val="1"/>
      </rPr>
      <t xml:space="preserve">[GWP:id] </t>
    </r>
    <r>
      <rPr>
        <sz val="10"/>
        <rFont val="Noto Sans CJK SC"/>
        <family val="2"/>
      </rPr>
      <t xml:space="preserve">오출력 시 </t>
    </r>
    <r>
      <rPr>
        <sz val="10"/>
        <rFont val="Arial"/>
        <family val="0"/>
        <charset val="1"/>
      </rPr>
      <t xml:space="preserve">orphan about:blank </t>
    </r>
    <r>
      <rPr>
        <sz val="10"/>
        <rFont val="Noto Sans CJK SC"/>
        <family val="2"/>
      </rPr>
      <t xml:space="preserve">탭으로 방치되던 버그</t>
    </r>
  </si>
  <si>
    <r>
      <rPr>
        <sz val="10"/>
        <rFont val="Arial"/>
        <family val="0"/>
        <charset val="1"/>
      </rPr>
      <t xml:space="preserve">call-ai.js:4338 </t>
    </r>
    <r>
      <rPr>
        <sz val="10"/>
        <rFont val="Noto Sans CJK SC"/>
        <family val="2"/>
      </rPr>
      <t xml:space="preserve">부근</t>
    </r>
    <r>
      <rPr>
        <sz val="10"/>
        <rFont val="Arial"/>
        <family val="0"/>
        <charset val="1"/>
      </rPr>
      <t xml:space="preserve">, engine.js:113 </t>
    </r>
    <r>
      <rPr>
        <sz val="10"/>
        <rFont val="Noto Sans CJK SC"/>
        <family val="2"/>
      </rPr>
      <t xml:space="preserve">부근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커밋 </t>
    </r>
    <r>
      <rPr>
        <sz val="10"/>
        <rFont val="Arial"/>
        <family val="0"/>
        <charset val="1"/>
      </rPr>
      <t xml:space="preserve">e4904ac/3dfee94</t>
    </r>
  </si>
  <si>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제주대학교에 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연구센터가 있는지</t>
    </r>
    <r>
      <rPr>
        <sz val="10"/>
        <rFont val="Arial"/>
        <family val="0"/>
        <charset val="1"/>
      </rPr>
      <t xml:space="preserve">" </t>
    </r>
    <r>
      <rPr>
        <sz val="10"/>
        <rFont val="Noto Sans CJK SC"/>
        <family val="2"/>
      </rPr>
      <t xml:space="preserve">재현 시 정상 검색 결과 반환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빈 탭 없음</t>
    </r>
  </si>
  <si>
    <t xml:space="preserve">이번 세션 직접 수정 — 배포 후 첫 실사용자 재현이 가장 중요한 회귀</t>
  </si>
  <si>
    <t xml:space="preserve">INC-02</t>
  </si>
  <si>
    <r>
      <rPr>
        <sz val="10"/>
        <rFont val="Arial"/>
        <family val="0"/>
        <charset val="1"/>
      </rPr>
      <t xml:space="preserve">ksearch → CALL_KINTENT </t>
    </r>
    <r>
      <rPr>
        <sz val="10"/>
        <rFont val="Noto Sans CJK SC"/>
        <family val="2"/>
      </rPr>
      <t xml:space="preserve">재전달 자동복구 실배포 확인</t>
    </r>
  </si>
  <si>
    <r>
      <rPr>
        <sz val="10"/>
        <rFont val="Noto Sans CJK SC"/>
        <family val="2"/>
      </rPr>
      <t xml:space="preserve">커밋 </t>
    </r>
    <r>
      <rPr>
        <sz val="10"/>
        <rFont val="Arial"/>
        <family val="0"/>
        <charset val="1"/>
      </rPr>
      <t xml:space="preserve">3dfee94, call-ai.js:4386</t>
    </r>
  </si>
  <si>
    <r>
      <rPr>
        <sz val="10"/>
        <rFont val="Noto Sans CJK SC"/>
        <family val="2"/>
      </rPr>
      <t xml:space="preserve">인물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기관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업체 탐색성 발화가 정상적으로 </t>
    </r>
    <r>
      <rPr>
        <sz val="10"/>
        <rFont val="Arial"/>
        <family val="0"/>
        <charset val="1"/>
      </rPr>
      <t xml:space="preserve">K-Intent </t>
    </r>
    <r>
      <rPr>
        <sz val="10"/>
        <rFont val="Noto Sans CJK SC"/>
        <family val="2"/>
      </rPr>
      <t xml:space="preserve">진입</t>
    </r>
  </si>
  <si>
    <r>
      <rPr>
        <sz val="10"/>
        <rFont val="Arial"/>
        <family val="0"/>
        <charset val="1"/>
      </rPr>
      <t xml:space="preserve">INC-01</t>
    </r>
    <r>
      <rPr>
        <sz val="10"/>
        <rFont val="Noto Sans CJK SC"/>
        <family val="2"/>
      </rPr>
      <t xml:space="preserve">과 함께 확인</t>
    </r>
  </si>
  <si>
    <t xml:space="preserve">INC-03</t>
  </si>
  <si>
    <r>
      <rPr>
        <sz val="10"/>
        <rFont val="Arial"/>
        <family val="0"/>
        <charset val="1"/>
      </rPr>
      <t xml:space="preserve">switch</t>
    </r>
    <r>
      <rPr>
        <sz val="10"/>
        <rFont val="Noto Sans CJK SC"/>
        <family val="2"/>
      </rPr>
      <t xml:space="preserve">자동복구</t>
    </r>
  </si>
  <si>
    <r>
      <rPr>
        <sz val="10"/>
        <rFont val="Arial"/>
        <family val="0"/>
        <charset val="1"/>
      </rPr>
      <t xml:space="preserve">kestate/ktelecom/kbank(type:switch) </t>
    </r>
    <r>
      <rPr>
        <sz val="10"/>
        <rFont val="Noto Sans CJK SC"/>
        <family val="2"/>
      </rPr>
      <t xml:space="preserve">구식 </t>
    </r>
    <r>
      <rPr>
        <sz val="10"/>
        <rFont val="Arial"/>
        <family val="0"/>
        <charset val="1"/>
      </rPr>
      <t xml:space="preserve">[GWP:id] </t>
    </r>
    <r>
      <rPr>
        <sz val="10"/>
        <rFont val="Noto Sans CJK SC"/>
        <family val="2"/>
      </rPr>
      <t xml:space="preserve">오출력 자동복구</t>
    </r>
  </si>
  <si>
    <t xml:space="preserve">call-ai.js:4266, scenarios_repro_gwp_exception_tags_20260807.json</t>
  </si>
  <si>
    <r>
      <rPr>
        <sz val="10"/>
        <rFont val="Arial"/>
        <family val="0"/>
        <charset val="1"/>
      </rPr>
      <t xml:space="preserve">20/20 </t>
    </r>
    <r>
      <rPr>
        <sz val="10"/>
        <rFont val="Noto Sans CJK SC"/>
        <family val="2"/>
      </rPr>
      <t xml:space="preserve">결정론적 자동복구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기존 검증 결과와 동일</t>
    </r>
    <r>
      <rPr>
        <sz val="10"/>
        <rFont val="Arial"/>
        <family val="0"/>
        <charset val="1"/>
      </rPr>
      <t xml:space="preserve">)</t>
    </r>
  </si>
  <si>
    <t xml:space="preserve">이번 세션 패치가 이 기존 분기를 건드리지 않았는지 확인</t>
  </si>
  <si>
    <t xml:space="preserve">INC-04</t>
  </si>
  <si>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응답결함</t>
    </r>
  </si>
  <si>
    <r>
      <rPr>
        <sz val="10"/>
        <rFont val="Arial"/>
        <family val="0"/>
        <charset val="1"/>
      </rPr>
      <t xml:space="preserve">deepseek-v4-flash reasoning </t>
    </r>
    <r>
      <rPr>
        <sz val="10"/>
        <rFont val="Noto Sans CJK SC"/>
        <family val="2"/>
      </rPr>
      <t xml:space="preserve">모델의 </t>
    </r>
    <r>
      <rPr>
        <sz val="10"/>
        <rFont val="Arial"/>
        <family val="0"/>
        <charset val="1"/>
      </rPr>
      <t xml:space="preserve">max_tokens </t>
    </r>
    <r>
      <rPr>
        <sz val="10"/>
        <rFont val="Noto Sans CJK SC"/>
        <family val="2"/>
      </rPr>
      <t xml:space="preserve">소진→빈 </t>
    </r>
    <r>
      <rPr>
        <sz val="10"/>
        <rFont val="Arial"/>
        <family val="0"/>
        <charset val="1"/>
      </rPr>
      <t xml:space="preserve">content </t>
    </r>
    <r>
      <rPr>
        <sz val="10"/>
        <rFont val="Noto Sans CJK SC"/>
        <family val="2"/>
      </rPr>
      <t xml:space="preserve">응답 결함</t>
    </r>
  </si>
  <si>
    <t xml:space="preserve">src/gopang/ai/subject-gate.js, domain-classifier.js, report-utils.js(max_tokens 60→1000)</t>
  </si>
  <si>
    <r>
      <rPr>
        <sz val="10"/>
        <rFont val="Arial"/>
        <family val="0"/>
        <charset val="1"/>
      </rPr>
      <t xml:space="preserve">subject-gate </t>
    </r>
    <r>
      <rPr>
        <sz val="10"/>
        <rFont val="Noto Sans CJK SC"/>
        <family val="2"/>
      </rPr>
      <t xml:space="preserve">관련 시나리오에서 </t>
    </r>
    <r>
      <rPr>
        <sz val="10"/>
        <rFont val="Arial"/>
        <family val="0"/>
        <charset val="1"/>
      </rPr>
      <t xml:space="preserve">'[DEBUG-EMPTY]' </t>
    </r>
    <r>
      <rPr>
        <sz val="10"/>
        <rFont val="Noto Sans CJK SC"/>
        <family val="2"/>
      </rPr>
      <t xml:space="preserve">재발 없음</t>
    </r>
  </si>
  <si>
    <r>
      <rPr>
        <sz val="10"/>
        <rFont val="Arial"/>
        <family val="0"/>
        <charset val="1"/>
      </rPr>
      <t xml:space="preserve">2026-08-09 </t>
    </r>
    <r>
      <rPr>
        <sz val="10"/>
        <rFont val="Noto Sans CJK SC"/>
        <family val="2"/>
      </rPr>
      <t xml:space="preserve">발견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수정 — 다른 </t>
    </r>
    <r>
      <rPr>
        <sz val="10"/>
        <rFont val="Arial"/>
        <family val="0"/>
        <charset val="1"/>
      </rPr>
      <t xml:space="preserve">max_tokens:60</t>
    </r>
    <r>
      <rPr>
        <sz val="10"/>
        <rFont val="Noto Sans CJK SC"/>
        <family val="2"/>
      </rPr>
      <t xml:space="preserve">류 호출부가 더 있는지 전수 재검토 권장</t>
    </r>
  </si>
  <si>
    <t xml:space="preserve">INC-05</t>
  </si>
  <si>
    <r>
      <rPr>
        <sz val="10"/>
        <rFont val="Arial"/>
        <family val="0"/>
        <charset val="1"/>
      </rPr>
      <t xml:space="preserve">GDC </t>
    </r>
    <r>
      <rPr>
        <sz val="10"/>
        <rFont val="Noto Sans CJK SC"/>
        <family val="2"/>
      </rPr>
      <t xml:space="preserve">관련 시크릿 </t>
    </r>
    <r>
      <rPr>
        <sz val="10"/>
        <rFont val="Arial"/>
        <family val="0"/>
        <charset val="1"/>
      </rPr>
      <t xml:space="preserve">git </t>
    </r>
    <r>
      <rPr>
        <sz val="10"/>
        <rFont val="Noto Sans CJK SC"/>
        <family val="2"/>
      </rPr>
      <t xml:space="preserve">노출 사고</t>
    </r>
  </si>
  <si>
    <t xml:space="preserve">GDC_GIT_EXPOSURE_INCIDENT_2026_07_23.md</t>
  </si>
  <si>
    <r>
      <rPr>
        <sz val="10"/>
        <rFont val="Noto Sans CJK SC"/>
        <family val="2"/>
      </rPr>
      <t xml:space="preserve">동일 패턴 시크릿이 커밋 이력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현재 코드에 없음</t>
    </r>
  </si>
  <si>
    <t xml:space="preserve">INC-06</t>
  </si>
  <si>
    <r>
      <rPr>
        <sz val="10"/>
        <rFont val="Arial"/>
        <family val="0"/>
        <charset val="1"/>
      </rPr>
      <t xml:space="preserve">device-link </t>
    </r>
    <r>
      <rPr>
        <sz val="10"/>
        <rFont val="Noto Sans CJK SC"/>
        <family val="2"/>
      </rPr>
      <t xml:space="preserve">전체 체인 장애</t>
    </r>
  </si>
  <si>
    <t xml:space="preserve">DEVICE_LINK_FULL_CHAIN_INCIDENT_2026_07_28.md</t>
  </si>
  <si>
    <t xml:space="preserve">문서화된 장애 시나리오 재현 안 됨</t>
  </si>
  <si>
    <t xml:space="preserve">INC-07</t>
  </si>
  <si>
    <r>
      <rPr>
        <sz val="10"/>
        <rFont val="Noto Sans CJK SC"/>
        <family val="2"/>
      </rPr>
      <t xml:space="preserve">전화번호 사칭 취약점</t>
    </r>
    <r>
      <rPr>
        <sz val="10"/>
        <rFont val="Arial"/>
        <family val="0"/>
        <charset val="1"/>
      </rPr>
      <t xml:space="preserve">(3</t>
    </r>
    <r>
      <rPr>
        <sz val="10"/>
        <rFont val="Noto Sans CJK SC"/>
        <family val="2"/>
      </rPr>
      <t xml:space="preserve">계층 방어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</si>
  <si>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메모리 기록 — </t>
    </r>
    <r>
      <rPr>
        <sz val="10"/>
        <rFont val="Arial"/>
        <family val="0"/>
        <charset val="1"/>
      </rPr>
      <t xml:space="preserve">auth/ </t>
    </r>
    <r>
      <rPr>
        <sz val="10"/>
        <rFont val="Noto Sans CJK SC"/>
        <family val="2"/>
      </rPr>
      <t xml:space="preserve">전화 인증 관련부</t>
    </r>
  </si>
  <si>
    <t xml:space="preserve">재현 시도 실패</t>
  </si>
  <si>
    <t xml:space="preserve">INC-08</t>
  </si>
  <si>
    <r>
      <rPr>
        <sz val="10"/>
        <rFont val="Arial"/>
        <family val="0"/>
        <charset val="1"/>
      </rPr>
      <t xml:space="preserve">handleAIChat(/ai/chat) </t>
    </r>
    <r>
      <rPr>
        <sz val="10"/>
        <rFont val="Noto Sans CJK SC"/>
        <family val="2"/>
      </rPr>
      <t xml:space="preserve">패스스루 — </t>
    </r>
    <r>
      <rPr>
        <sz val="10"/>
        <rFont val="Arial"/>
        <family val="0"/>
        <charset val="1"/>
      </rPr>
      <t xml:space="preserve">UNIVERSAL </t>
    </r>
    <r>
      <rPr>
        <sz val="10"/>
        <rFont val="Noto Sans CJK SC"/>
        <family val="2"/>
      </rPr>
      <t xml:space="preserve">레이어 미주입</t>
    </r>
  </si>
  <si>
    <r>
      <rPr>
        <sz val="10"/>
        <rFont val="Arial"/>
        <family val="0"/>
        <charset val="1"/>
      </rPr>
      <t xml:space="preserve">/ai/chat </t>
    </r>
    <r>
      <rPr>
        <sz val="10"/>
        <rFont val="Noto Sans CJK SC"/>
        <family val="2"/>
      </rPr>
      <t xml:space="preserve">응답에 </t>
    </r>
    <r>
      <rPr>
        <sz val="10"/>
        <rFont val="Arial"/>
        <family val="0"/>
        <charset val="1"/>
      </rPr>
      <t xml:space="preserve">UNIVERSAL </t>
    </r>
    <r>
      <rPr>
        <sz val="10"/>
        <rFont val="Noto Sans CJK SC"/>
        <family val="2"/>
      </rPr>
      <t xml:space="preserve">레이어 반영 유지</t>
    </r>
  </si>
  <si>
    <t xml:space="preserve">INC-09</t>
  </si>
  <si>
    <r>
      <rPr>
        <sz val="10"/>
        <rFont val="Arial"/>
        <family val="0"/>
        <charset val="1"/>
      </rPr>
      <t xml:space="preserve">webapp.html BYOK </t>
    </r>
    <r>
      <rPr>
        <sz val="10"/>
        <rFont val="Noto Sans CJK SC"/>
        <family val="2"/>
      </rPr>
      <t xml:space="preserve">경로 </t>
    </r>
    <r>
      <rPr>
        <sz val="10"/>
        <rFont val="Arial"/>
        <family val="0"/>
        <charset val="1"/>
      </rPr>
      <t xml:space="preserve">CONTROL-TOWER-PRINCIPLE </t>
    </r>
    <r>
      <rPr>
        <sz val="10"/>
        <rFont val="Noto Sans CJK SC"/>
        <family val="2"/>
      </rPr>
      <t xml:space="preserve">누락</t>
    </r>
  </si>
  <si>
    <r>
      <rPr>
        <sz val="10"/>
        <rFont val="Arial"/>
        <family val="0"/>
        <charset val="1"/>
      </rPr>
      <t xml:space="preserve">webapp.html BYOK</t>
    </r>
    <r>
      <rPr>
        <sz val="10"/>
        <rFont val="Noto Sans CJK SC"/>
        <family val="2"/>
      </rPr>
      <t xml:space="preserve">부</t>
    </r>
  </si>
  <si>
    <r>
      <rPr>
        <sz val="10"/>
        <rFont val="Arial"/>
        <family val="0"/>
        <charset val="1"/>
      </rPr>
      <t xml:space="preserve">BYOK </t>
    </r>
    <r>
      <rPr>
        <sz val="10"/>
        <rFont val="Noto Sans CJK SC"/>
        <family val="2"/>
      </rPr>
      <t xml:space="preserve">경로도 관제탑 원칙 포함 유지</t>
    </r>
  </si>
  <si>
    <t xml:space="preserve">INC-10</t>
  </si>
  <si>
    <r>
      <rPr>
        <sz val="10"/>
        <rFont val="Arial"/>
        <family val="0"/>
        <charset val="1"/>
      </rPr>
      <t xml:space="preserve">_makeGenericCityDeptEntries </t>
    </r>
    <r>
      <rPr>
        <sz val="10"/>
        <rFont val="Noto Sans CJK SC"/>
        <family val="2"/>
      </rPr>
      <t xml:space="preserve">공유 테이블 </t>
    </r>
    <r>
      <rPr>
        <sz val="10"/>
        <rFont val="Arial"/>
        <family val="0"/>
        <charset val="1"/>
      </rPr>
      <t xml:space="preserve">EMD</t>
    </r>
    <r>
      <rPr>
        <sz val="10"/>
        <rFont val="Noto Sans CJK SC"/>
        <family val="2"/>
      </rPr>
      <t xml:space="preserve">급 업무 오라우팅</t>
    </r>
  </si>
  <si>
    <r>
      <rPr>
        <sz val="10"/>
        <rFont val="Arial"/>
        <family val="0"/>
        <charset val="1"/>
      </rPr>
      <t xml:space="preserve">gov-router.js </t>
    </r>
    <r>
      <rPr>
        <sz val="10"/>
        <rFont val="Noto Sans CJK SC"/>
        <family val="2"/>
      </rPr>
      <t xml:space="preserve">관련부</t>
    </r>
  </si>
  <si>
    <r>
      <rPr>
        <sz val="10"/>
        <rFont val="Arial"/>
        <family val="0"/>
        <charset val="1"/>
      </rPr>
      <t xml:space="preserve">EMD </t>
    </r>
    <r>
      <rPr>
        <sz val="10"/>
        <rFont val="Noto Sans CJK SC"/>
        <family val="2"/>
      </rPr>
      <t xml:space="preserve">레벨 업무 오라우팅 재발 없음</t>
    </r>
  </si>
  <si>
    <t xml:space="preserve">INC-11</t>
  </si>
  <si>
    <t xml:space="preserve">동시세션</t>
  </si>
  <si>
    <r>
      <rPr>
        <sz val="10"/>
        <rFont val="Arial"/>
        <family val="0"/>
        <charset val="1"/>
      </rPr>
      <t xml:space="preserve">sp-catalog.json </t>
    </r>
    <r>
      <rPr>
        <sz val="10"/>
        <rFont val="Noto Sans CJK SC"/>
        <family val="2"/>
      </rPr>
      <t xml:space="preserve">동시 세션 브랜치 덮어쓰기</t>
    </r>
  </si>
  <si>
    <r>
      <rPr>
        <sz val="10"/>
        <rFont val="Noto Sans CJK SC"/>
        <family val="2"/>
      </rPr>
      <t xml:space="preserve">표준 절차</t>
    </r>
    <r>
      <rPr>
        <sz val="10"/>
        <rFont val="Arial"/>
        <family val="0"/>
        <charset val="1"/>
      </rPr>
      <t xml:space="preserve">: git fetch </t>
    </r>
    <r>
      <rPr>
        <sz val="10"/>
        <rFont val="Noto Sans CJK SC"/>
        <family val="2"/>
      </rPr>
      <t xml:space="preserve">후 현재 </t>
    </r>
    <r>
      <rPr>
        <sz val="10"/>
        <rFont val="Arial"/>
        <family val="0"/>
        <charset val="1"/>
      </rPr>
      <t xml:space="preserve">HEAD</t>
    </r>
    <r>
      <rPr>
        <sz val="10"/>
        <rFont val="Noto Sans CJK SC"/>
        <family val="2"/>
      </rPr>
      <t xml:space="preserve">에 </t>
    </r>
    <r>
      <rPr>
        <sz val="10"/>
        <rFont val="Arial"/>
        <family val="0"/>
        <charset val="1"/>
      </rPr>
      <t xml:space="preserve">in-place </t>
    </r>
    <r>
      <rPr>
        <sz val="10"/>
        <rFont val="Noto Sans CJK SC"/>
        <family val="2"/>
      </rPr>
      <t xml:space="preserve">수정</t>
    </r>
  </si>
  <si>
    <t xml:space="preserve">이 절차를 지켰는지 커밋 로그로 확인</t>
  </si>
  <si>
    <r>
      <rPr>
        <sz val="10"/>
        <rFont val="Noto Sans CJK SC"/>
        <family val="2"/>
      </rPr>
      <t xml:space="preserve">재발 방지는 절차 준수가 유일한 수단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코드로 못 막음</t>
    </r>
    <r>
      <rPr>
        <sz val="10"/>
        <rFont val="Arial"/>
        <family val="0"/>
        <charset val="1"/>
      </rPr>
      <t xml:space="preserve">)</t>
    </r>
  </si>
  <si>
    <t xml:space="preserve">INC-12</t>
  </si>
  <si>
    <r>
      <rPr>
        <sz val="10"/>
        <rFont val="Arial"/>
        <family val="0"/>
        <charset val="1"/>
      </rPr>
      <t xml:space="preserve">worker.js </t>
    </r>
    <r>
      <rPr>
        <sz val="10"/>
        <rFont val="Noto Sans CJK SC"/>
        <family val="2"/>
      </rPr>
      <t xml:space="preserve">대량삭제</t>
    </r>
    <r>
      <rPr>
        <sz val="10"/>
        <rFont val="Arial"/>
        <family val="0"/>
        <charset val="1"/>
      </rPr>
      <t xml:space="preserve">(stale-checkout </t>
    </r>
    <r>
      <rPr>
        <sz val="10"/>
        <rFont val="Noto Sans CJK SC"/>
        <family val="2"/>
      </rPr>
      <t xml:space="preserve">커밋</t>
    </r>
    <r>
      <rPr>
        <sz val="10"/>
        <rFont val="Arial"/>
        <family val="0"/>
        <charset val="1"/>
      </rPr>
      <t xml:space="preserve">, 436e508/890e434c/ff385f71)</t>
    </r>
  </si>
  <si>
    <t xml:space="preserve">check-worker-mass-deletion.yml</t>
  </si>
  <si>
    <r>
      <rPr>
        <sz val="10"/>
        <rFont val="Arial"/>
        <family val="0"/>
        <charset val="1"/>
      </rPr>
      <t xml:space="preserve">CI green, worker.js </t>
    </r>
    <r>
      <rPr>
        <sz val="10"/>
        <rFont val="Noto Sans CJK SC"/>
        <family val="2"/>
      </rPr>
      <t xml:space="preserve">라인 수 급감 없음</t>
    </r>
  </si>
  <si>
    <t xml:space="preserve">INC-13</t>
  </si>
  <si>
    <t xml:space="preserve">런타임오류</t>
  </si>
  <si>
    <r>
      <rPr>
        <sz val="10"/>
        <rFont val="Arial"/>
        <family val="0"/>
        <charset val="1"/>
      </rPr>
      <t xml:space="preserve">_parseShadowTags </t>
    </r>
    <r>
      <rPr>
        <sz val="10"/>
        <rFont val="Noto Sans CJK SC"/>
        <family val="2"/>
      </rPr>
      <t xml:space="preserve">미정의 함수 참조로 인한 </t>
    </r>
    <r>
      <rPr>
        <sz val="10"/>
        <rFont val="Arial"/>
        <family val="0"/>
        <charset val="1"/>
      </rPr>
      <t xml:space="preserve">ReferenceError(GWP/EXPERT/AUTH </t>
    </r>
    <r>
      <rPr>
        <sz val="10"/>
        <rFont val="Noto Sans CJK SC"/>
        <family val="2"/>
      </rPr>
      <t xml:space="preserve">이후 처리 전체 차단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</si>
  <si>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call-ai.js — </t>
    </r>
    <r>
      <rPr>
        <sz val="10"/>
        <rFont val="Noto Sans CJK SC"/>
        <family val="2"/>
      </rPr>
      <t xml:space="preserve">공용 디스패처로 이미 대체됨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주석 근거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</si>
  <si>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해당 </t>
    </r>
    <r>
      <rPr>
        <sz val="10"/>
        <rFont val="Arial"/>
        <family val="0"/>
        <charset val="1"/>
      </rPr>
      <t xml:space="preserve">ReferenceError </t>
    </r>
    <r>
      <rPr>
        <sz val="10"/>
        <rFont val="Noto Sans CJK SC"/>
        <family val="2"/>
      </rPr>
      <t xml:space="preserve">재발 없음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콘솔 확인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</si>
  <si>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2026-07-01 </t>
    </r>
    <r>
      <rPr>
        <sz val="10"/>
        <rFont val="Noto Sans CJK SC"/>
        <family val="2"/>
      </rPr>
      <t xml:space="preserve">발견 — </t>
    </r>
    <r>
      <rPr>
        <sz val="10"/>
        <rFont val="Arial"/>
        <family val="0"/>
        <charset val="1"/>
      </rPr>
      <t xml:space="preserve">AGENT-COMMON §0 </t>
    </r>
    <r>
      <rPr>
        <sz val="10"/>
        <rFont val="Noto Sans CJK SC"/>
        <family val="2"/>
      </rPr>
      <t xml:space="preserve">보유 응답마다 </t>
    </r>
    <r>
      <rPr>
        <sz val="10"/>
        <rFont val="Arial"/>
        <family val="0"/>
        <charset val="1"/>
      </rPr>
      <t xml:space="preserve">100% </t>
    </r>
    <r>
      <rPr>
        <sz val="10"/>
        <rFont val="Noto Sans CJK SC"/>
        <family val="2"/>
      </rPr>
      <t xml:space="preserve">재현이었던 심각도</t>
    </r>
  </si>
  <si>
    <t xml:space="preserve">INC-14</t>
  </si>
  <si>
    <t xml:space="preserve">경쟁조건</t>
  </si>
  <si>
    <r>
      <rPr>
        <sz val="10"/>
        <rFont val="Arial"/>
        <family val="0"/>
        <charset val="1"/>
      </rPr>
      <t xml:space="preserve">_currentAbort </t>
    </r>
    <r>
      <rPr>
        <sz val="10"/>
        <rFont val="Noto Sans CJK SC"/>
        <family val="2"/>
      </rPr>
      <t xml:space="preserve">경쟁조건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정지 버튼이 잘못된 스트림을 가리키는 </t>
    </r>
    <r>
      <rPr>
        <sz val="10"/>
        <rFont val="Arial"/>
        <family val="0"/>
        <charset val="1"/>
      </rPr>
      <t xml:space="preserve">UX </t>
    </r>
    <r>
      <rPr>
        <sz val="10"/>
        <rFont val="Noto Sans CJK SC"/>
        <family val="2"/>
      </rPr>
      <t xml:space="preserve">결함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</si>
  <si>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call-ai.js compare-and-clear </t>
    </r>
    <r>
      <rPr>
        <sz val="10"/>
        <rFont val="Noto Sans CJK SC"/>
        <family val="2"/>
      </rPr>
      <t xml:space="preserve">패턴</t>
    </r>
    <r>
      <rPr>
        <sz val="10"/>
        <rFont val="Arial"/>
        <family val="0"/>
        <charset val="1"/>
      </rPr>
      <t xml:space="preserve">(myAbort </t>
    </r>
    <r>
      <rPr>
        <sz val="10"/>
        <rFont val="Noto Sans CJK SC"/>
        <family val="2"/>
      </rPr>
      <t xml:space="preserve">지역변수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실배포 스트리밍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정지 버튼 수동 확인</t>
    </r>
  </si>
  <si>
    <r>
      <rPr>
        <sz val="10"/>
        <rFont val="Noto Sans CJK SC"/>
        <family val="2"/>
      </rPr>
      <t xml:space="preserve">동시 </t>
    </r>
    <r>
      <rPr>
        <sz val="10"/>
        <rFont val="Arial"/>
        <family val="0"/>
        <charset val="1"/>
      </rPr>
      <t xml:space="preserve">callAI </t>
    </r>
    <r>
      <rPr>
        <sz val="10"/>
        <rFont val="Noto Sans CJK SC"/>
        <family val="2"/>
      </rPr>
      <t xml:space="preserve">실행 중 정지 버튼이 항상 올바른 스트림을 정지시킴</t>
    </r>
  </si>
  <si>
    <r>
      <rPr>
        <sz val="10"/>
        <rFont val="Noto Sans CJK SC"/>
        <family val="2"/>
      </rPr>
      <t xml:space="preserve">설계 문서 자체가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이 하네스는 실제 스트림 타이밍까지는 검증 못함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이라 명시 — 반드시 실배포 수동 확인 필요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</si>
</sst>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937"/>
      <name val="Noto Sans CJK SC"/>
      <family val="2"/>
    </font>
    <font>
      <b val="true"/>
      <sz val="16"/>
      <color rgb="FF1F2937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i val="true"/>
      <sz val="10"/>
      <color rgb="FF6B7280"/>
      <name val="Noto Sans CJK SC"/>
      <family val="2"/>
    </font>
    <font>
      <b val="true"/>
      <sz val="11"/>
      <name val="Noto Sans CJK SC"/>
      <family val="2"/>
    </font>
    <font>
      <b val="true"/>
      <sz val="11"/>
      <name val="Arial"/>
      <family val="0"/>
      <charset val="1"/>
    </font>
    <font>
      <sz val="10"/>
      <name val="Noto Sans CJK SC"/>
      <family val="2"/>
    </font>
    <font>
      <sz val="10"/>
      <name val="Arial"/>
      <family val="0"/>
      <charset val="1"/>
    </font>
    <font>
      <b val="true"/>
      <sz val="13"/>
      <name val="Noto Sans CJK SC"/>
      <family val="2"/>
    </font>
    <font>
      <b val="true"/>
      <sz val="10"/>
      <color rgb="FFFFFFFF"/>
      <name val="Noto Sans CJK SC"/>
      <family val="2"/>
    </font>
    <font>
      <b val="true"/>
      <sz val="14"/>
      <name val="Noto Sans CJK SC"/>
      <family val="2"/>
    </font>
    <font>
      <b val="true"/>
      <sz val="14"/>
      <name val="Arial"/>
      <family val="0"/>
      <charset val="1"/>
    </font>
    <font>
      <i val="true"/>
      <sz val="9"/>
      <color rgb="FF6B7280"/>
      <name val="Arial"/>
      <family val="0"/>
      <charset val="1"/>
    </font>
    <font>
      <i val="true"/>
      <sz val="9"/>
      <color rgb="FF6B7280"/>
      <name val="Noto Sans CJK SC"/>
      <family val="2"/>
    </font>
    <font>
      <b val="true"/>
      <sz val="10"/>
      <color rgb="FFFFFFFF"/>
      <name val="Arial"/>
      <family val="0"/>
      <charset val="1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8D7DA"/>
        <bgColor rgb="FFD1D5DB"/>
      </patternFill>
    </fill>
    <fill>
      <patternFill patternType="solid">
        <fgColor rgb="FFFFF3CD"/>
        <bgColor rgb="FFFFFFFF"/>
      </patternFill>
    </fill>
    <fill>
      <patternFill patternType="solid">
        <fgColor rgb="FFD1E7DD"/>
        <bgColor rgb="FFD1D5D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2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0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1E7DD"/>
          <bgColor rgb="FF000000"/>
        </patternFill>
      </fill>
    </dxf>
    <dxf>
      <fill>
        <patternFill patternType="solid">
          <fgColor rgb="FFF8D7DA"/>
          <bgColor rgb="FF000000"/>
        </patternFill>
      </fill>
    </dxf>
    <dxf>
      <fill>
        <patternFill patternType="solid">
          <fgColor rgb="FFFFF3C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D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E7DD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60"/>
    <col collapsed="false" customWidth="true" hidden="false" outlineLevel="0" max="4" min="4" style="0" width="30"/>
  </cols>
  <sheetData>
    <row r="1" customFormat="false" ht="23.8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7.15" hidden="false" customHeight="false" outlineLevel="0" collapsed="false">
      <c r="B4" s="3" t="s">
        <v>2</v>
      </c>
      <c r="C4" s="3"/>
      <c r="D4" s="3"/>
    </row>
    <row r="5" customFormat="false" ht="60" hidden="false" customHeight="true" outlineLevel="0" collapsed="false">
      <c r="B5" s="4" t="s">
        <v>3</v>
      </c>
      <c r="C5" s="4"/>
      <c r="D5" s="4"/>
    </row>
    <row r="7" customFormat="false" ht="17.15" hidden="false" customHeight="false" outlineLevel="0" collapsed="false">
      <c r="B7" s="3" t="s">
        <v>4</v>
      </c>
      <c r="C7" s="3"/>
      <c r="D7" s="3"/>
    </row>
    <row r="8" customFormat="false" ht="60" hidden="false" customHeight="true" outlineLevel="0" collapsed="false">
      <c r="B8" s="5" t="s">
        <v>5</v>
      </c>
      <c r="C8" s="5"/>
      <c r="D8" s="5"/>
    </row>
    <row r="10" customFormat="false" ht="17.15" hidden="false" customHeight="false" outlineLevel="0" collapsed="false">
      <c r="B10" s="3" t="s">
        <v>6</v>
      </c>
      <c r="C10" s="3"/>
      <c r="D10" s="3"/>
    </row>
    <row r="11" customFormat="false" ht="60" hidden="false" customHeight="true" outlineLevel="0" collapsed="false">
      <c r="B11" s="4" t="s">
        <v>7</v>
      </c>
      <c r="C11" s="4"/>
      <c r="D11" s="4"/>
    </row>
    <row r="13" customFormat="false" ht="17.15" hidden="false" customHeight="false" outlineLevel="0" collapsed="false">
      <c r="B13" s="3" t="s">
        <v>8</v>
      </c>
      <c r="C13" s="3"/>
      <c r="D13" s="3"/>
    </row>
    <row r="14" customFormat="false" ht="60" hidden="false" customHeight="true" outlineLevel="0" collapsed="false">
      <c r="B14" s="4" t="s">
        <v>9</v>
      </c>
      <c r="C14" s="4"/>
      <c r="D14" s="4"/>
    </row>
    <row r="17" customFormat="false" ht="16.15" hidden="false" customHeight="false" outlineLevel="0" collapsed="false">
      <c r="B17" s="6" t="s">
        <v>10</v>
      </c>
    </row>
    <row r="18" customFormat="false" ht="15" hidden="false" customHeight="false" outlineLevel="0" collapsed="false">
      <c r="B18" s="7" t="s">
        <v>11</v>
      </c>
      <c r="C18" s="7" t="s">
        <v>12</v>
      </c>
      <c r="D18" s="7" t="s">
        <v>13</v>
      </c>
      <c r="E18" s="7" t="s">
        <v>14</v>
      </c>
    </row>
    <row r="19" customFormat="false" ht="45.75" hidden="false" customHeight="true" outlineLevel="0" collapsed="false">
      <c r="B19" s="8" t="s">
        <v>15</v>
      </c>
      <c r="C19" s="9" t="s">
        <v>16</v>
      </c>
      <c r="D19" s="8" t="s">
        <v>17</v>
      </c>
      <c r="E19" s="8" t="s">
        <v>18</v>
      </c>
    </row>
    <row r="20" customFormat="false" ht="45.75" hidden="false" customHeight="true" outlineLevel="0" collapsed="false">
      <c r="B20" s="8" t="s">
        <v>19</v>
      </c>
      <c r="C20" s="9" t="s">
        <v>20</v>
      </c>
      <c r="D20" s="9" t="s">
        <v>21</v>
      </c>
      <c r="E20" s="8" t="s">
        <v>22</v>
      </c>
    </row>
    <row r="21" customFormat="false" ht="45.75" hidden="false" customHeight="true" outlineLevel="0" collapsed="false">
      <c r="B21" s="8" t="s">
        <v>23</v>
      </c>
      <c r="C21" s="9" t="s">
        <v>24</v>
      </c>
      <c r="D21" s="9" t="s">
        <v>25</v>
      </c>
      <c r="E21" s="8" t="s">
        <v>26</v>
      </c>
    </row>
    <row r="22" customFormat="false" ht="45.75" hidden="false" customHeight="true" outlineLevel="0" collapsed="false">
      <c r="B22" s="8" t="s">
        <v>27</v>
      </c>
      <c r="C22" s="9" t="s">
        <v>28</v>
      </c>
      <c r="D22" s="9" t="s">
        <v>29</v>
      </c>
      <c r="E22" s="9" t="s">
        <v>30</v>
      </c>
    </row>
    <row r="23" customFormat="false" ht="45.75" hidden="false" customHeight="true" outlineLevel="0" collapsed="false">
      <c r="B23" s="8" t="s">
        <v>31</v>
      </c>
      <c r="C23" s="9" t="s">
        <v>32</v>
      </c>
      <c r="D23" s="9" t="s">
        <v>33</v>
      </c>
      <c r="E23" s="9" t="s">
        <v>34</v>
      </c>
    </row>
    <row r="24" customFormat="false" ht="45.75" hidden="false" customHeight="true" outlineLevel="0" collapsed="false">
      <c r="B24" s="8" t="s">
        <v>35</v>
      </c>
      <c r="C24" s="9" t="s">
        <v>36</v>
      </c>
      <c r="D24" s="9" t="s">
        <v>37</v>
      </c>
      <c r="E24" s="8" t="s">
        <v>38</v>
      </c>
    </row>
  </sheetData>
  <mergeCells count="8">
    <mergeCell ref="B4:D4"/>
    <mergeCell ref="B5:D5"/>
    <mergeCell ref="B7:D7"/>
    <mergeCell ref="B8:D8"/>
    <mergeCell ref="B10:D10"/>
    <mergeCell ref="B11:D11"/>
    <mergeCell ref="B13:D13"/>
    <mergeCell ref="B14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7" min="3" style="0" width="14"/>
  </cols>
  <sheetData>
    <row r="1" customFormat="false" ht="21.6" hidden="false" customHeight="false" outlineLevel="0" collapsed="false">
      <c r="B1" s="10" t="s">
        <v>39</v>
      </c>
    </row>
    <row r="2" customFormat="false" ht="15" hidden="false" customHeight="false" outlineLevel="0" collapsed="false">
      <c r="B2" s="11" t="s">
        <v>40</v>
      </c>
    </row>
    <row r="4" customFormat="false" ht="15" hidden="false" customHeight="false" outlineLevel="0" collapsed="false">
      <c r="B4" s="7" t="s">
        <v>41</v>
      </c>
      <c r="C4" s="7" t="s">
        <v>42</v>
      </c>
      <c r="D4" s="12" t="s">
        <v>43</v>
      </c>
      <c r="E4" s="12" t="s">
        <v>44</v>
      </c>
      <c r="F4" s="12" t="s">
        <v>45</v>
      </c>
      <c r="G4" s="7" t="s">
        <v>46</v>
      </c>
      <c r="H4" s="7" t="s">
        <v>47</v>
      </c>
    </row>
    <row r="5" customFormat="false" ht="15" hidden="false" customHeight="false" outlineLevel="0" collapsed="false">
      <c r="B5" s="8" t="s">
        <v>48</v>
      </c>
      <c r="C5" s="13" t="n">
        <v>29</v>
      </c>
      <c r="D5" s="13" t="n">
        <f aca="false">COUNTIF(01_기존자동화_인벤토리!$F$2:$F$30,"P0")</f>
        <v>11</v>
      </c>
      <c r="E5" s="13" t="n">
        <f aca="false">COUNTIF(01_기존자동화_인벤토리!$F$2:$F$30,"P1")</f>
        <v>12</v>
      </c>
      <c r="F5" s="13" t="n">
        <f aca="false">COUNTIF(01_기존자동화_인벤토리!$F$2:$F$30,"P2")</f>
        <v>6</v>
      </c>
      <c r="G5" s="13" t="n">
        <f aca="false">COUNTIF(01_기존자동화_인벤토리!$H$2:$H$30,"완료")</f>
        <v>0</v>
      </c>
      <c r="H5" s="14" t="n">
        <f aca="false">IF(C5=0,0,G5/C5)</f>
        <v>0</v>
      </c>
    </row>
    <row r="6" customFormat="false" ht="15" hidden="false" customHeight="false" outlineLevel="0" collapsed="false">
      <c r="B6" s="8" t="s">
        <v>49</v>
      </c>
      <c r="C6" s="13" t="n">
        <v>13</v>
      </c>
      <c r="D6" s="13" t="n">
        <f aca="false">COUNTIF(02_라우팅_오케스트레이션!$F$2:$F$14,"P0")</f>
        <v>8</v>
      </c>
      <c r="E6" s="13" t="n">
        <f aca="false">COUNTIF(02_라우팅_오케스트레이션!$F$2:$F$14,"P1")</f>
        <v>3</v>
      </c>
      <c r="F6" s="13" t="n">
        <f aca="false">COUNTIF(02_라우팅_오케스트레이션!$F$2:$F$14,"P2")</f>
        <v>2</v>
      </c>
      <c r="G6" s="13" t="n">
        <f aca="false">COUNTIF(02_라우팅_오케스트레이션!$H$2:$H$14,"완료")</f>
        <v>0</v>
      </c>
      <c r="H6" s="14" t="n">
        <f aca="false">IF(C6=0,0,G6/C6)</f>
        <v>0</v>
      </c>
    </row>
    <row r="7" customFormat="false" ht="15" hidden="false" customHeight="false" outlineLevel="0" collapsed="false">
      <c r="B7" s="8" t="s">
        <v>50</v>
      </c>
      <c r="C7" s="13" t="n">
        <v>7</v>
      </c>
      <c r="D7" s="13" t="n">
        <f aca="false">COUNTIF(03_관제탑원칙_SP구성!$F$2:$F$8,"P0")</f>
        <v>7</v>
      </c>
      <c r="E7" s="13" t="n">
        <f aca="false">COUNTIF(03_관제탑원칙_SP구성!$F$2:$F$8,"P1")</f>
        <v>0</v>
      </c>
      <c r="F7" s="13" t="n">
        <f aca="false">COUNTIF(03_관제탑원칙_SP구성!$F$2:$F$8,"P2")</f>
        <v>0</v>
      </c>
      <c r="G7" s="13" t="n">
        <f aca="false">COUNTIF(03_관제탑원칙_SP구성!$H$2:$H$8,"완료")</f>
        <v>0</v>
      </c>
      <c r="H7" s="14" t="n">
        <f aca="false">IF(C7=0,0,G7/C7)</f>
        <v>0</v>
      </c>
    </row>
    <row r="8" customFormat="false" ht="15" hidden="false" customHeight="false" outlineLevel="0" collapsed="false">
      <c r="B8" s="8" t="s">
        <v>51</v>
      </c>
      <c r="C8" s="13" t="n">
        <v>9</v>
      </c>
      <c r="D8" s="13" t="n">
        <f aca="false">COUNTIF(04_인증_SSO_보안!$F$2:$F$10,"P0")</f>
        <v>5</v>
      </c>
      <c r="E8" s="13" t="n">
        <f aca="false">COUNTIF(04_인증_SSO_보안!$F$2:$F$10,"P1")</f>
        <v>3</v>
      </c>
      <c r="F8" s="13" t="n">
        <f aca="false">COUNTIF(04_인증_SSO_보안!$F$2:$F$10,"P2")</f>
        <v>1</v>
      </c>
      <c r="G8" s="13" t="n">
        <f aca="false">COUNTIF(04_인증_SSO_보안!$H$2:$H$10,"완료")</f>
        <v>0</v>
      </c>
      <c r="H8" s="14" t="n">
        <f aca="false">IF(C8=0,0,G8/C8)</f>
        <v>0</v>
      </c>
    </row>
    <row r="9" customFormat="false" ht="15" hidden="false" customHeight="false" outlineLevel="0" collapsed="false">
      <c r="B9" s="8" t="s">
        <v>52</v>
      </c>
      <c r="C9" s="13" t="n">
        <v>10</v>
      </c>
      <c r="D9" s="13" t="n">
        <f aca="false">COUNTIF(05_PDV_GDC_지갑_결제!$F$2:$F$11,"P0")</f>
        <v>2</v>
      </c>
      <c r="E9" s="13" t="n">
        <f aca="false">COUNTIF(05_PDV_GDC_지갑_결제!$F$2:$F$11,"P1")</f>
        <v>7</v>
      </c>
      <c r="F9" s="13" t="n">
        <f aca="false">COUNTIF(05_PDV_GDC_지갑_결제!$F$2:$F$11,"P2")</f>
        <v>1</v>
      </c>
      <c r="G9" s="13" t="n">
        <f aca="false">COUNTIF(05_PDV_GDC_지갑_결제!$H$2:$H$11,"완료")</f>
        <v>0</v>
      </c>
      <c r="H9" s="14" t="n">
        <f aca="false">IF(C9=0,0,G9/C9)</f>
        <v>0</v>
      </c>
    </row>
    <row r="10" customFormat="false" ht="15" hidden="false" customHeight="false" outlineLevel="0" collapsed="false">
      <c r="B10" s="8" t="s">
        <v>53</v>
      </c>
      <c r="C10" s="13" t="n">
        <v>8</v>
      </c>
      <c r="D10" s="13" t="n">
        <f aca="false">COUNTIF(06_govtree_행정서비스!$F$2:$F$9,"P0")</f>
        <v>6</v>
      </c>
      <c r="E10" s="13" t="n">
        <f aca="false">COUNTIF(06_govtree_행정서비스!$F$2:$F$9,"P1")</f>
        <v>2</v>
      </c>
      <c r="F10" s="13" t="n">
        <f aca="false">COUNTIF(06_govtree_행정서비스!$F$2:$F$9,"P2")</f>
        <v>0</v>
      </c>
      <c r="G10" s="13" t="n">
        <f aca="false">COUNTIF(06_govtree_행정서비스!$H$2:$H$9,"완료")</f>
        <v>0</v>
      </c>
      <c r="H10" s="14" t="n">
        <f aca="false">IF(C10=0,0,G10/C10)</f>
        <v>0</v>
      </c>
    </row>
    <row r="11" customFormat="false" ht="15" hidden="false" customHeight="false" outlineLevel="0" collapsed="false">
      <c r="B11" s="8" t="s">
        <v>54</v>
      </c>
      <c r="C11" s="13" t="n">
        <v>6</v>
      </c>
      <c r="D11" s="13" t="n">
        <f aca="false">COUNTIF(07_EXPERT_페르소나!$F$2:$F$7,"P0")</f>
        <v>1</v>
      </c>
      <c r="E11" s="13" t="n">
        <f aca="false">COUNTIF(07_EXPERT_페르소나!$F$2:$F$7,"P1")</f>
        <v>4</v>
      </c>
      <c r="F11" s="13" t="n">
        <f aca="false">COUNTIF(07_EXPERT_페르소나!$F$2:$F$7,"P2")</f>
        <v>1</v>
      </c>
      <c r="G11" s="13" t="n">
        <f aca="false">COUNTIF(07_EXPERT_페르소나!$H$2:$H$7,"완료")</f>
        <v>0</v>
      </c>
      <c r="H11" s="14" t="n">
        <f aca="false">IF(C11=0,0,G11/C11)</f>
        <v>0</v>
      </c>
    </row>
    <row r="12" customFormat="false" ht="15" hidden="false" customHeight="false" outlineLevel="0" collapsed="false">
      <c r="B12" s="8" t="s">
        <v>55</v>
      </c>
      <c r="C12" s="13" t="n">
        <v>8</v>
      </c>
      <c r="D12" s="13" t="n">
        <f aca="false">COUNTIF(08_biz_상거래_결제!$F$2:$F$9,"P0")</f>
        <v>2</v>
      </c>
      <c r="E12" s="13" t="n">
        <f aca="false">COUNTIF(08_biz_상거래_결제!$F$2:$F$9,"P1")</f>
        <v>4</v>
      </c>
      <c r="F12" s="13" t="n">
        <f aca="false">COUNTIF(08_biz_상거래_결제!$F$2:$F$9,"P2")</f>
        <v>2</v>
      </c>
      <c r="G12" s="13" t="n">
        <f aca="false">COUNTIF(08_biz_상거래_결제!$H$2:$H$9,"완료")</f>
        <v>0</v>
      </c>
      <c r="H12" s="14" t="n">
        <f aca="false">IF(C12=0,0,G12/C12)</f>
        <v>0</v>
      </c>
    </row>
    <row r="13" customFormat="false" ht="15" hidden="false" customHeight="false" outlineLevel="0" collapsed="false">
      <c r="B13" s="8" t="s">
        <v>56</v>
      </c>
      <c r="C13" s="13" t="n">
        <v>6</v>
      </c>
      <c r="D13" s="13" t="n">
        <f aca="false">COUNTIF(09_위성저장소_동기화!$F$2:$F$7,"P0")</f>
        <v>2</v>
      </c>
      <c r="E13" s="13" t="n">
        <f aca="false">COUNTIF(09_위성저장소_동기화!$F$2:$F$7,"P1")</f>
        <v>2</v>
      </c>
      <c r="F13" s="13" t="n">
        <f aca="false">COUNTIF(09_위성저장소_동기화!$F$2:$F$7,"P2")</f>
        <v>2</v>
      </c>
      <c r="G13" s="13" t="n">
        <f aca="false">COUNTIF(09_위성저장소_동기화!$H$2:$H$7,"완료")</f>
        <v>0</v>
      </c>
      <c r="H13" s="14" t="n">
        <f aca="false">IF(C13=0,0,G13/C13)</f>
        <v>0</v>
      </c>
    </row>
    <row r="14" customFormat="false" ht="15" hidden="false" customHeight="false" outlineLevel="0" collapsed="false">
      <c r="B14" s="8" t="s">
        <v>57</v>
      </c>
      <c r="C14" s="13" t="n">
        <v>6</v>
      </c>
      <c r="D14" s="13" t="n">
        <f aca="false">COUNTIF(10_UI_UX_회귀!$F$2:$F$7,"P0")</f>
        <v>1</v>
      </c>
      <c r="E14" s="13" t="n">
        <f aca="false">COUNTIF(10_UI_UX_회귀!$F$2:$F$7,"P1")</f>
        <v>2</v>
      </c>
      <c r="F14" s="13" t="n">
        <f aca="false">COUNTIF(10_UI_UX_회귀!$F$2:$F$7,"P2")</f>
        <v>3</v>
      </c>
      <c r="G14" s="13" t="n">
        <f aca="false">COUNTIF(10_UI_UX_회귀!$H$2:$H$7,"완료")</f>
        <v>0</v>
      </c>
      <c r="H14" s="14" t="n">
        <f aca="false">IF(C14=0,0,G14/C14)</f>
        <v>0</v>
      </c>
    </row>
    <row r="15" customFormat="false" ht="15" hidden="false" customHeight="false" outlineLevel="0" collapsed="false">
      <c r="B15" s="8" t="s">
        <v>58</v>
      </c>
      <c r="C15" s="13" t="n">
        <v>14</v>
      </c>
      <c r="D15" s="13" t="n">
        <f aca="false">COUNTIF(11_회귀_인시던트_체크리스트!$F$2:$F$15,"P0")</f>
        <v>12</v>
      </c>
      <c r="E15" s="13" t="n">
        <f aca="false">COUNTIF(11_회귀_인시던트_체크리스트!$F$2:$F$15,"P1")</f>
        <v>2</v>
      </c>
      <c r="F15" s="13" t="n">
        <f aca="false">COUNTIF(11_회귀_인시던트_체크리스트!$F$2:$F$15,"P2")</f>
        <v>0</v>
      </c>
      <c r="G15" s="13" t="n">
        <f aca="false">COUNTIF(11_회귀_인시던트_체크리스트!$H$2:$H$15,"완료")</f>
        <v>0</v>
      </c>
      <c r="H15" s="14" t="n">
        <f aca="false">IF(C15=0,0,G15/C15)</f>
        <v>0</v>
      </c>
    </row>
    <row r="16" customFormat="false" ht="15" hidden="false" customHeight="false" outlineLevel="0" collapsed="false">
      <c r="B16" s="15" t="s">
        <v>59</v>
      </c>
      <c r="C16" s="16" t="n">
        <f aca="false">SUM(C5:C15)</f>
        <v>116</v>
      </c>
      <c r="D16" s="16" t="n">
        <f aca="false">SUM(D5:D15)</f>
        <v>57</v>
      </c>
      <c r="E16" s="16" t="n">
        <f aca="false">SUM(E5:E15)</f>
        <v>41</v>
      </c>
      <c r="F16" s="16" t="n">
        <f aca="false">SUM(F5:F15)</f>
        <v>18</v>
      </c>
      <c r="G16" s="16" t="n">
        <f aca="false">SUM(G5:G15)</f>
        <v>0</v>
      </c>
      <c r="H16" s="17" t="n">
        <f aca="false">IF(C16=0,0,G16/C16)</f>
        <v>0</v>
      </c>
    </row>
    <row r="19" customFormat="false" ht="15" hidden="false" customHeight="false" outlineLevel="0" collapsed="false">
      <c r="B19" s="18" t="s">
        <v>60</v>
      </c>
    </row>
    <row r="20" customFormat="false" ht="15" hidden="false" customHeight="false" outlineLevel="0" collapsed="false">
      <c r="B20" s="19" t="s">
        <v>43</v>
      </c>
      <c r="C20" s="20" t="s">
        <v>61</v>
      </c>
      <c r="D20" s="20"/>
      <c r="E20" s="20"/>
      <c r="F20" s="20"/>
      <c r="G20" s="20"/>
      <c r="H20" s="20"/>
    </row>
    <row r="21" customFormat="false" ht="15" hidden="false" customHeight="false" outlineLevel="0" collapsed="false">
      <c r="B21" s="21" t="s">
        <v>44</v>
      </c>
      <c r="C21" s="20" t="s">
        <v>62</v>
      </c>
      <c r="D21" s="20"/>
      <c r="E21" s="20"/>
      <c r="F21" s="20"/>
      <c r="G21" s="20"/>
      <c r="H21" s="20"/>
    </row>
    <row r="22" customFormat="false" ht="15" hidden="false" customHeight="false" outlineLevel="0" collapsed="false">
      <c r="B22" s="22" t="s">
        <v>45</v>
      </c>
      <c r="C22" s="20" t="s">
        <v>63</v>
      </c>
      <c r="D22" s="20"/>
      <c r="E22" s="20"/>
      <c r="F22" s="20"/>
      <c r="G22" s="20"/>
      <c r="H22" s="20"/>
    </row>
  </sheetData>
  <mergeCells count="3">
    <mergeCell ref="C20:H20"/>
    <mergeCell ref="C21:H21"/>
    <mergeCell ref="C22:H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42"/>
    <col collapsed="false" customWidth="true" hidden="false" outlineLevel="0" max="4" min="4" style="0" width="16"/>
    <col collapsed="false" customWidth="true" hidden="false" outlineLevel="0" max="5" min="5" style="0" width="40"/>
    <col collapsed="false" customWidth="true" hidden="false" outlineLevel="0" max="6" min="6" style="0" width="8"/>
    <col collapsed="false" customWidth="true" hidden="false" outlineLevel="0" max="7" min="7" style="0" width="40"/>
    <col collapsed="false" customWidth="true" hidden="false" outlineLevel="0" max="8" min="8" style="0" width="10"/>
    <col collapsed="false" customWidth="true" hidden="false" outlineLevel="0" max="9" min="9" style="0" width="30"/>
  </cols>
  <sheetData>
    <row r="1" customFormat="false" ht="21.75" hidden="false" customHeight="true" outlineLevel="0" collapsed="false">
      <c r="A1" s="23" t="s">
        <v>64</v>
      </c>
      <c r="B1" s="24" t="s">
        <v>65</v>
      </c>
      <c r="C1" s="24" t="s">
        <v>66</v>
      </c>
      <c r="D1" s="24" t="s">
        <v>67</v>
      </c>
      <c r="E1" s="24" t="s">
        <v>68</v>
      </c>
      <c r="F1" s="24" t="s">
        <v>69</v>
      </c>
      <c r="G1" s="24" t="s">
        <v>70</v>
      </c>
      <c r="H1" s="24" t="s">
        <v>71</v>
      </c>
      <c r="I1" s="24" t="s">
        <v>72</v>
      </c>
    </row>
    <row r="2" customFormat="false" ht="29.85" hidden="false" customHeight="false" outlineLevel="0" collapsed="false">
      <c r="A2" s="8" t="s">
        <v>73</v>
      </c>
      <c r="B2" s="8" t="s">
        <v>74</v>
      </c>
      <c r="C2" s="8" t="s">
        <v>75</v>
      </c>
      <c r="D2" s="9" t="s">
        <v>76</v>
      </c>
      <c r="E2" s="8" t="s">
        <v>77</v>
      </c>
      <c r="F2" s="25" t="s">
        <v>44</v>
      </c>
      <c r="G2" s="8" t="s">
        <v>78</v>
      </c>
      <c r="H2" s="13"/>
      <c r="I2" s="9"/>
    </row>
    <row r="3" customFormat="false" ht="26.85" hidden="false" customHeight="false" outlineLevel="0" collapsed="false">
      <c r="A3" s="8" t="s">
        <v>79</v>
      </c>
      <c r="B3" s="8" t="s">
        <v>74</v>
      </c>
      <c r="C3" s="8" t="s">
        <v>80</v>
      </c>
      <c r="D3" s="9" t="s">
        <v>76</v>
      </c>
      <c r="E3" s="8" t="s">
        <v>81</v>
      </c>
      <c r="F3" s="25" t="s">
        <v>44</v>
      </c>
      <c r="G3" s="8" t="s">
        <v>78</v>
      </c>
      <c r="H3" s="13"/>
      <c r="I3" s="9"/>
    </row>
    <row r="4" customFormat="false" ht="29.85" hidden="false" customHeight="false" outlineLevel="0" collapsed="false">
      <c r="A4" s="8" t="s">
        <v>82</v>
      </c>
      <c r="B4" s="8" t="s">
        <v>74</v>
      </c>
      <c r="C4" s="8" t="s">
        <v>83</v>
      </c>
      <c r="D4" s="9" t="s">
        <v>76</v>
      </c>
      <c r="E4" s="8" t="s">
        <v>84</v>
      </c>
      <c r="F4" s="25" t="s">
        <v>44</v>
      </c>
      <c r="G4" s="8" t="s">
        <v>78</v>
      </c>
      <c r="H4" s="13"/>
      <c r="I4" s="9"/>
    </row>
    <row r="5" customFormat="false" ht="23.85" hidden="false" customHeight="false" outlineLevel="0" collapsed="false">
      <c r="A5" s="8" t="s">
        <v>85</v>
      </c>
      <c r="B5" s="8" t="s">
        <v>74</v>
      </c>
      <c r="C5" s="8" t="s">
        <v>86</v>
      </c>
      <c r="D5" s="9" t="s">
        <v>76</v>
      </c>
      <c r="E5" s="8" t="s">
        <v>87</v>
      </c>
      <c r="F5" s="26" t="s">
        <v>45</v>
      </c>
      <c r="G5" s="8" t="s">
        <v>78</v>
      </c>
      <c r="H5" s="13"/>
      <c r="I5" s="9"/>
    </row>
    <row r="6" customFormat="false" ht="29.85" hidden="false" customHeight="false" outlineLevel="0" collapsed="false">
      <c r="A6" s="8" t="s">
        <v>88</v>
      </c>
      <c r="B6" s="8" t="s">
        <v>74</v>
      </c>
      <c r="C6" s="8" t="s">
        <v>89</v>
      </c>
      <c r="D6" s="9" t="s">
        <v>76</v>
      </c>
      <c r="E6" s="8" t="s">
        <v>90</v>
      </c>
      <c r="F6" s="25" t="s">
        <v>44</v>
      </c>
      <c r="G6" s="8" t="s">
        <v>78</v>
      </c>
      <c r="H6" s="13"/>
      <c r="I6" s="9"/>
    </row>
    <row r="7" customFormat="false" ht="29.85" hidden="false" customHeight="false" outlineLevel="0" collapsed="false">
      <c r="A7" s="8" t="s">
        <v>91</v>
      </c>
      <c r="B7" s="8" t="s">
        <v>74</v>
      </c>
      <c r="C7" s="8" t="s">
        <v>92</v>
      </c>
      <c r="D7" s="9" t="s">
        <v>76</v>
      </c>
      <c r="E7" s="8" t="s">
        <v>93</v>
      </c>
      <c r="F7" s="27" t="s">
        <v>43</v>
      </c>
      <c r="G7" s="8" t="s">
        <v>78</v>
      </c>
      <c r="H7" s="13"/>
      <c r="I7" s="8" t="s">
        <v>94</v>
      </c>
    </row>
    <row r="8" customFormat="false" ht="29.85" hidden="false" customHeight="false" outlineLevel="0" collapsed="false">
      <c r="A8" s="8" t="s">
        <v>95</v>
      </c>
      <c r="B8" s="9" t="s">
        <v>96</v>
      </c>
      <c r="C8" s="9" t="s">
        <v>97</v>
      </c>
      <c r="D8" s="9" t="s">
        <v>76</v>
      </c>
      <c r="E8" s="8" t="s">
        <v>98</v>
      </c>
      <c r="F8" s="27" t="s">
        <v>43</v>
      </c>
      <c r="G8" s="8" t="s">
        <v>99</v>
      </c>
      <c r="H8" s="13"/>
      <c r="I8" s="8" t="s">
        <v>100</v>
      </c>
    </row>
    <row r="9" customFormat="false" ht="15" hidden="false" customHeight="false" outlineLevel="0" collapsed="false">
      <c r="A9" s="8" t="s">
        <v>101</v>
      </c>
      <c r="B9" s="8" t="s">
        <v>74</v>
      </c>
      <c r="C9" s="8" t="s">
        <v>102</v>
      </c>
      <c r="D9" s="9" t="s">
        <v>76</v>
      </c>
      <c r="E9" s="8" t="s">
        <v>103</v>
      </c>
      <c r="F9" s="25" t="s">
        <v>44</v>
      </c>
      <c r="G9" s="8" t="s">
        <v>78</v>
      </c>
      <c r="H9" s="13"/>
      <c r="I9" s="9"/>
    </row>
    <row r="10" customFormat="false" ht="15" hidden="false" customHeight="false" outlineLevel="0" collapsed="false">
      <c r="A10" s="8" t="s">
        <v>104</v>
      </c>
      <c r="B10" s="8" t="s">
        <v>74</v>
      </c>
      <c r="C10" s="8" t="s">
        <v>105</v>
      </c>
      <c r="D10" s="9" t="s">
        <v>76</v>
      </c>
      <c r="E10" s="8" t="s">
        <v>106</v>
      </c>
      <c r="F10" s="25" t="s">
        <v>44</v>
      </c>
      <c r="G10" s="8" t="s">
        <v>78</v>
      </c>
      <c r="H10" s="13"/>
      <c r="I10" s="9"/>
    </row>
    <row r="11" customFormat="false" ht="15" hidden="false" customHeight="false" outlineLevel="0" collapsed="false">
      <c r="A11" s="8" t="s">
        <v>107</v>
      </c>
      <c r="B11" s="8" t="s">
        <v>74</v>
      </c>
      <c r="C11" s="8" t="s">
        <v>108</v>
      </c>
      <c r="D11" s="9" t="s">
        <v>76</v>
      </c>
      <c r="E11" s="8" t="s">
        <v>109</v>
      </c>
      <c r="F11" s="26" t="s">
        <v>45</v>
      </c>
      <c r="G11" s="8" t="s">
        <v>78</v>
      </c>
      <c r="H11" s="13"/>
      <c r="I11" s="9"/>
    </row>
    <row r="12" customFormat="false" ht="29.85" hidden="false" customHeight="false" outlineLevel="0" collapsed="false">
      <c r="A12" s="8" t="s">
        <v>110</v>
      </c>
      <c r="B12" s="9" t="s">
        <v>111</v>
      </c>
      <c r="C12" s="8" t="s">
        <v>112</v>
      </c>
      <c r="D12" s="9" t="s">
        <v>76</v>
      </c>
      <c r="E12" s="8" t="s">
        <v>113</v>
      </c>
      <c r="F12" s="27" t="s">
        <v>43</v>
      </c>
      <c r="G12" s="8" t="s">
        <v>78</v>
      </c>
      <c r="H12" s="13"/>
      <c r="I12" s="9" t="s">
        <v>114</v>
      </c>
    </row>
    <row r="13" customFormat="false" ht="29.85" hidden="false" customHeight="false" outlineLevel="0" collapsed="false">
      <c r="A13" s="8" t="s">
        <v>115</v>
      </c>
      <c r="B13" s="9" t="s">
        <v>116</v>
      </c>
      <c r="C13" s="8" t="s">
        <v>117</v>
      </c>
      <c r="D13" s="9" t="s">
        <v>76</v>
      </c>
      <c r="E13" s="8" t="s">
        <v>118</v>
      </c>
      <c r="F13" s="27" t="s">
        <v>43</v>
      </c>
      <c r="G13" s="8" t="s">
        <v>78</v>
      </c>
      <c r="H13" s="13"/>
      <c r="I13" s="9" t="s">
        <v>119</v>
      </c>
    </row>
    <row r="14" customFormat="false" ht="23.85" hidden="false" customHeight="false" outlineLevel="0" collapsed="false">
      <c r="A14" s="8" t="s">
        <v>120</v>
      </c>
      <c r="B14" s="9" t="s">
        <v>121</v>
      </c>
      <c r="C14" s="8" t="s">
        <v>122</v>
      </c>
      <c r="D14" s="9" t="s">
        <v>76</v>
      </c>
      <c r="E14" s="8" t="s">
        <v>123</v>
      </c>
      <c r="F14" s="27" t="s">
        <v>43</v>
      </c>
      <c r="G14" s="8" t="s">
        <v>78</v>
      </c>
      <c r="H14" s="13"/>
      <c r="I14" s="9" t="s">
        <v>124</v>
      </c>
    </row>
    <row r="15" customFormat="false" ht="15" hidden="false" customHeight="false" outlineLevel="0" collapsed="false">
      <c r="A15" s="8" t="s">
        <v>125</v>
      </c>
      <c r="B15" s="9" t="s">
        <v>126</v>
      </c>
      <c r="C15" s="8" t="s">
        <v>127</v>
      </c>
      <c r="D15" s="9" t="s">
        <v>76</v>
      </c>
      <c r="E15" s="8" t="s">
        <v>128</v>
      </c>
      <c r="F15" s="25" t="s">
        <v>44</v>
      </c>
      <c r="G15" s="9" t="s">
        <v>129</v>
      </c>
      <c r="H15" s="13"/>
      <c r="I15" s="9"/>
    </row>
    <row r="16" customFormat="false" ht="15" hidden="false" customHeight="false" outlineLevel="0" collapsed="false">
      <c r="A16" s="8" t="s">
        <v>130</v>
      </c>
      <c r="B16" s="9" t="s">
        <v>126</v>
      </c>
      <c r="C16" s="8" t="s">
        <v>131</v>
      </c>
      <c r="D16" s="9" t="s">
        <v>76</v>
      </c>
      <c r="E16" s="8" t="s">
        <v>132</v>
      </c>
      <c r="F16" s="25" t="s">
        <v>44</v>
      </c>
      <c r="G16" s="9" t="s">
        <v>129</v>
      </c>
      <c r="H16" s="13"/>
      <c r="I16" s="9"/>
    </row>
    <row r="17" customFormat="false" ht="15" hidden="false" customHeight="false" outlineLevel="0" collapsed="false">
      <c r="A17" s="8" t="s">
        <v>133</v>
      </c>
      <c r="B17" s="9" t="s">
        <v>126</v>
      </c>
      <c r="C17" s="8" t="s">
        <v>134</v>
      </c>
      <c r="D17" s="9" t="s">
        <v>76</v>
      </c>
      <c r="E17" s="8" t="s">
        <v>135</v>
      </c>
      <c r="F17" s="27" t="s">
        <v>43</v>
      </c>
      <c r="G17" s="9" t="s">
        <v>136</v>
      </c>
      <c r="H17" s="13"/>
      <c r="I17" s="9" t="s">
        <v>137</v>
      </c>
    </row>
    <row r="18" customFormat="false" ht="23.85" hidden="false" customHeight="false" outlineLevel="0" collapsed="false">
      <c r="A18" s="8" t="s">
        <v>138</v>
      </c>
      <c r="B18" s="9" t="s">
        <v>111</v>
      </c>
      <c r="C18" s="8" t="s">
        <v>139</v>
      </c>
      <c r="D18" s="9" t="s">
        <v>76</v>
      </c>
      <c r="E18" s="8" t="s">
        <v>140</v>
      </c>
      <c r="F18" s="27" t="s">
        <v>43</v>
      </c>
      <c r="G18" s="8" t="s">
        <v>141</v>
      </c>
      <c r="H18" s="13"/>
      <c r="I18" s="8" t="s">
        <v>142</v>
      </c>
    </row>
    <row r="19" customFormat="false" ht="55.2" hidden="false" customHeight="false" outlineLevel="0" collapsed="false">
      <c r="A19" s="8" t="s">
        <v>143</v>
      </c>
      <c r="B19" s="9" t="s">
        <v>111</v>
      </c>
      <c r="C19" s="8" t="s">
        <v>144</v>
      </c>
      <c r="D19" s="9" t="s">
        <v>76</v>
      </c>
      <c r="E19" s="8" t="s">
        <v>145</v>
      </c>
      <c r="F19" s="27" t="s">
        <v>43</v>
      </c>
      <c r="G19" s="8" t="s">
        <v>141</v>
      </c>
      <c r="H19" s="13"/>
      <c r="I19" s="8" t="s">
        <v>146</v>
      </c>
    </row>
    <row r="20" customFormat="false" ht="29.85" hidden="false" customHeight="false" outlineLevel="0" collapsed="false">
      <c r="A20" s="8" t="s">
        <v>147</v>
      </c>
      <c r="B20" s="8" t="s">
        <v>148</v>
      </c>
      <c r="C20" s="8" t="s">
        <v>149</v>
      </c>
      <c r="D20" s="9" t="s">
        <v>76</v>
      </c>
      <c r="E20" s="8" t="s">
        <v>150</v>
      </c>
      <c r="F20" s="27" t="s">
        <v>43</v>
      </c>
      <c r="G20" s="8" t="s">
        <v>141</v>
      </c>
      <c r="H20" s="13"/>
      <c r="I20" s="9"/>
    </row>
    <row r="21" customFormat="false" ht="23.85" hidden="false" customHeight="false" outlineLevel="0" collapsed="false">
      <c r="A21" s="8" t="s">
        <v>151</v>
      </c>
      <c r="B21" s="8" t="s">
        <v>152</v>
      </c>
      <c r="C21" s="8" t="s">
        <v>153</v>
      </c>
      <c r="D21" s="9" t="s">
        <v>76</v>
      </c>
      <c r="E21" s="8" t="s">
        <v>154</v>
      </c>
      <c r="F21" s="25" t="s">
        <v>44</v>
      </c>
      <c r="G21" s="8" t="s">
        <v>141</v>
      </c>
      <c r="H21" s="13"/>
      <c r="I21" s="9"/>
    </row>
    <row r="22" customFormat="false" ht="29.85" hidden="false" customHeight="false" outlineLevel="0" collapsed="false">
      <c r="A22" s="8" t="s">
        <v>155</v>
      </c>
      <c r="B22" s="8" t="s">
        <v>156</v>
      </c>
      <c r="C22" s="8" t="s">
        <v>157</v>
      </c>
      <c r="D22" s="9" t="s">
        <v>76</v>
      </c>
      <c r="E22" s="8" t="s">
        <v>158</v>
      </c>
      <c r="F22" s="27" t="s">
        <v>43</v>
      </c>
      <c r="G22" s="8" t="s">
        <v>141</v>
      </c>
      <c r="H22" s="13"/>
      <c r="I22" s="8" t="s">
        <v>159</v>
      </c>
    </row>
    <row r="23" customFormat="false" ht="29.85" hidden="false" customHeight="false" outlineLevel="0" collapsed="false">
      <c r="A23" s="8" t="s">
        <v>160</v>
      </c>
      <c r="B23" s="9" t="s">
        <v>96</v>
      </c>
      <c r="C23" s="8" t="s">
        <v>161</v>
      </c>
      <c r="D23" s="9" t="s">
        <v>76</v>
      </c>
      <c r="E23" s="8" t="s">
        <v>162</v>
      </c>
      <c r="F23" s="27" t="s">
        <v>43</v>
      </c>
      <c r="G23" s="8" t="s">
        <v>141</v>
      </c>
      <c r="H23" s="13"/>
      <c r="I23" s="9" t="s">
        <v>163</v>
      </c>
    </row>
    <row r="24" customFormat="false" ht="15" hidden="false" customHeight="false" outlineLevel="0" collapsed="false">
      <c r="A24" s="8" t="s">
        <v>164</v>
      </c>
      <c r="B24" s="9" t="s">
        <v>165</v>
      </c>
      <c r="C24" s="8" t="s">
        <v>166</v>
      </c>
      <c r="D24" s="9" t="s">
        <v>76</v>
      </c>
      <c r="E24" s="8" t="s">
        <v>167</v>
      </c>
      <c r="F24" s="26" t="s">
        <v>45</v>
      </c>
      <c r="G24" s="8" t="s">
        <v>78</v>
      </c>
      <c r="H24" s="13"/>
      <c r="I24" s="9"/>
    </row>
    <row r="25" customFormat="false" ht="15" hidden="false" customHeight="false" outlineLevel="0" collapsed="false">
      <c r="A25" s="8" t="s">
        <v>168</v>
      </c>
      <c r="B25" s="9" t="s">
        <v>169</v>
      </c>
      <c r="C25" s="8" t="s">
        <v>170</v>
      </c>
      <c r="D25" s="9" t="s">
        <v>76</v>
      </c>
      <c r="E25" s="8" t="s">
        <v>171</v>
      </c>
      <c r="F25" s="26" t="s">
        <v>45</v>
      </c>
      <c r="G25" s="9" t="s">
        <v>172</v>
      </c>
      <c r="H25" s="13"/>
      <c r="I25" s="9"/>
    </row>
    <row r="26" customFormat="false" ht="15" hidden="false" customHeight="false" outlineLevel="0" collapsed="false">
      <c r="A26" s="8" t="s">
        <v>173</v>
      </c>
      <c r="B26" s="8" t="s">
        <v>174</v>
      </c>
      <c r="C26" s="8" t="s">
        <v>175</v>
      </c>
      <c r="D26" s="9" t="s">
        <v>76</v>
      </c>
      <c r="E26" s="8" t="s">
        <v>176</v>
      </c>
      <c r="F26" s="26" t="s">
        <v>45</v>
      </c>
      <c r="G26" s="9" t="s">
        <v>177</v>
      </c>
      <c r="H26" s="13"/>
      <c r="I26" s="9"/>
    </row>
    <row r="27" customFormat="false" ht="15" hidden="false" customHeight="false" outlineLevel="0" collapsed="false">
      <c r="A27" s="8" t="s">
        <v>178</v>
      </c>
      <c r="B27" s="8" t="s">
        <v>174</v>
      </c>
      <c r="C27" s="8" t="s">
        <v>179</v>
      </c>
      <c r="D27" s="9" t="s">
        <v>76</v>
      </c>
      <c r="E27" s="8" t="s">
        <v>180</v>
      </c>
      <c r="F27" s="25" t="s">
        <v>44</v>
      </c>
      <c r="G27" s="9" t="s">
        <v>181</v>
      </c>
      <c r="H27" s="13"/>
      <c r="I27" s="8" t="s">
        <v>182</v>
      </c>
    </row>
    <row r="28" customFormat="false" ht="23.85" hidden="false" customHeight="false" outlineLevel="0" collapsed="false">
      <c r="A28" s="8" t="s">
        <v>183</v>
      </c>
      <c r="B28" s="8" t="s">
        <v>152</v>
      </c>
      <c r="C28" s="8" t="s">
        <v>184</v>
      </c>
      <c r="D28" s="9" t="s">
        <v>76</v>
      </c>
      <c r="E28" s="8" t="s">
        <v>185</v>
      </c>
      <c r="F28" s="25" t="s">
        <v>44</v>
      </c>
      <c r="G28" s="8" t="s">
        <v>141</v>
      </c>
      <c r="H28" s="13"/>
      <c r="I28" s="9"/>
    </row>
    <row r="29" customFormat="false" ht="29.85" hidden="false" customHeight="false" outlineLevel="0" collapsed="false">
      <c r="A29" s="8" t="s">
        <v>186</v>
      </c>
      <c r="B29" s="8" t="s">
        <v>152</v>
      </c>
      <c r="C29" s="8" t="s">
        <v>187</v>
      </c>
      <c r="D29" s="9" t="s">
        <v>76</v>
      </c>
      <c r="E29" s="8" t="s">
        <v>188</v>
      </c>
      <c r="F29" s="25" t="s">
        <v>44</v>
      </c>
      <c r="G29" s="8" t="s">
        <v>141</v>
      </c>
      <c r="H29" s="13"/>
      <c r="I29" s="8" t="s">
        <v>189</v>
      </c>
    </row>
    <row r="30" customFormat="false" ht="15" hidden="false" customHeight="false" outlineLevel="0" collapsed="false">
      <c r="A30" s="8" t="s">
        <v>190</v>
      </c>
      <c r="B30" s="9" t="s">
        <v>191</v>
      </c>
      <c r="C30" s="9" t="s">
        <v>192</v>
      </c>
      <c r="D30" s="9" t="s">
        <v>76</v>
      </c>
      <c r="E30" s="8" t="s">
        <v>193</v>
      </c>
      <c r="F30" s="26" t="s">
        <v>45</v>
      </c>
      <c r="G30" s="9" t="s">
        <v>177</v>
      </c>
      <c r="H30" s="13"/>
      <c r="I30" s="9"/>
    </row>
  </sheetData>
  <autoFilter ref="A1:I3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42"/>
    <col collapsed="false" customWidth="true" hidden="false" outlineLevel="0" max="4" min="4" style="0" width="16"/>
    <col collapsed="false" customWidth="true" hidden="false" outlineLevel="0" max="5" min="5" style="0" width="40"/>
    <col collapsed="false" customWidth="true" hidden="false" outlineLevel="0" max="6" min="6" style="0" width="8"/>
    <col collapsed="false" customWidth="true" hidden="false" outlineLevel="0" max="7" min="7" style="0" width="40"/>
    <col collapsed="false" customWidth="true" hidden="false" outlineLevel="0" max="8" min="8" style="0" width="10"/>
    <col collapsed="false" customWidth="true" hidden="false" outlineLevel="0" max="9" min="9" style="0" width="30"/>
  </cols>
  <sheetData>
    <row r="1" customFormat="false" ht="21.75" hidden="false" customHeight="true" outlineLevel="0" collapsed="false">
      <c r="A1" s="23" t="s">
        <v>64</v>
      </c>
      <c r="B1" s="24" t="s">
        <v>65</v>
      </c>
      <c r="C1" s="24" t="s">
        <v>66</v>
      </c>
      <c r="D1" s="24" t="s">
        <v>67</v>
      </c>
      <c r="E1" s="24" t="s">
        <v>68</v>
      </c>
      <c r="F1" s="24" t="s">
        <v>69</v>
      </c>
      <c r="G1" s="24" t="s">
        <v>70</v>
      </c>
      <c r="H1" s="24" t="s">
        <v>71</v>
      </c>
      <c r="I1" s="24" t="s">
        <v>72</v>
      </c>
    </row>
    <row r="2" customFormat="false" ht="58.2" hidden="false" customHeight="false" outlineLevel="0" collapsed="false">
      <c r="A2" s="8" t="s">
        <v>194</v>
      </c>
      <c r="B2" s="8" t="s">
        <v>195</v>
      </c>
      <c r="C2" s="8" t="s">
        <v>196</v>
      </c>
      <c r="D2" s="9" t="s">
        <v>197</v>
      </c>
      <c r="E2" s="8" t="s">
        <v>198</v>
      </c>
      <c r="F2" s="27" t="s">
        <v>43</v>
      </c>
      <c r="G2" s="8" t="s">
        <v>199</v>
      </c>
      <c r="H2" s="13"/>
      <c r="I2" s="9" t="s">
        <v>200</v>
      </c>
    </row>
    <row r="3" customFormat="false" ht="44" hidden="false" customHeight="false" outlineLevel="0" collapsed="false">
      <c r="A3" s="8" t="s">
        <v>201</v>
      </c>
      <c r="B3" s="8" t="s">
        <v>195</v>
      </c>
      <c r="C3" s="9" t="s">
        <v>202</v>
      </c>
      <c r="D3" s="9" t="s">
        <v>203</v>
      </c>
      <c r="E3" s="8" t="s">
        <v>204</v>
      </c>
      <c r="F3" s="25" t="s">
        <v>44</v>
      </c>
      <c r="G3" s="8" t="s">
        <v>205</v>
      </c>
      <c r="H3" s="13"/>
      <c r="I3" s="9" t="s">
        <v>206</v>
      </c>
    </row>
    <row r="4" customFormat="false" ht="29.85" hidden="false" customHeight="false" outlineLevel="0" collapsed="false">
      <c r="A4" s="8" t="s">
        <v>207</v>
      </c>
      <c r="B4" s="9" t="s">
        <v>208</v>
      </c>
      <c r="C4" s="8" t="s">
        <v>209</v>
      </c>
      <c r="D4" s="9" t="s">
        <v>197</v>
      </c>
      <c r="E4" s="8" t="s">
        <v>210</v>
      </c>
      <c r="F4" s="27" t="s">
        <v>43</v>
      </c>
      <c r="G4" s="8" t="s">
        <v>211</v>
      </c>
      <c r="H4" s="13"/>
      <c r="I4" s="9"/>
    </row>
    <row r="5" customFormat="false" ht="29.85" hidden="false" customHeight="false" outlineLevel="0" collapsed="false">
      <c r="A5" s="8" t="s">
        <v>212</v>
      </c>
      <c r="B5" s="9" t="s">
        <v>208</v>
      </c>
      <c r="C5" s="8" t="s">
        <v>213</v>
      </c>
      <c r="D5" s="9" t="s">
        <v>197</v>
      </c>
      <c r="E5" s="8" t="s">
        <v>214</v>
      </c>
      <c r="F5" s="25" t="s">
        <v>44</v>
      </c>
      <c r="G5" s="8" t="s">
        <v>215</v>
      </c>
      <c r="H5" s="13"/>
      <c r="I5" s="8" t="s">
        <v>216</v>
      </c>
    </row>
    <row r="6" customFormat="false" ht="29.85" hidden="false" customHeight="false" outlineLevel="0" collapsed="false">
      <c r="A6" s="8" t="s">
        <v>217</v>
      </c>
      <c r="B6" s="9" t="s">
        <v>208</v>
      </c>
      <c r="C6" s="8" t="s">
        <v>218</v>
      </c>
      <c r="D6" s="9" t="s">
        <v>197</v>
      </c>
      <c r="E6" s="8" t="s">
        <v>219</v>
      </c>
      <c r="F6" s="27" t="s">
        <v>43</v>
      </c>
      <c r="G6" s="9" t="s">
        <v>220</v>
      </c>
      <c r="H6" s="13"/>
      <c r="I6" s="9"/>
    </row>
    <row r="7" customFormat="false" ht="29.85" hidden="false" customHeight="false" outlineLevel="0" collapsed="false">
      <c r="A7" s="8" t="s">
        <v>221</v>
      </c>
      <c r="B7" s="9" t="s">
        <v>208</v>
      </c>
      <c r="C7" s="9" t="s">
        <v>222</v>
      </c>
      <c r="D7" s="9" t="s">
        <v>197</v>
      </c>
      <c r="E7" s="8" t="s">
        <v>223</v>
      </c>
      <c r="F7" s="27" t="s">
        <v>43</v>
      </c>
      <c r="G7" s="8" t="s">
        <v>224</v>
      </c>
      <c r="H7" s="13"/>
      <c r="I7" s="9"/>
    </row>
    <row r="8" customFormat="false" ht="44" hidden="false" customHeight="false" outlineLevel="0" collapsed="false">
      <c r="A8" s="8" t="s">
        <v>225</v>
      </c>
      <c r="B8" s="9" t="s">
        <v>208</v>
      </c>
      <c r="C8" s="8" t="s">
        <v>226</v>
      </c>
      <c r="D8" s="9" t="s">
        <v>197</v>
      </c>
      <c r="E8" s="8" t="s">
        <v>227</v>
      </c>
      <c r="F8" s="27" t="s">
        <v>43</v>
      </c>
      <c r="G8" s="8" t="s">
        <v>228</v>
      </c>
      <c r="H8" s="13"/>
      <c r="I8" s="9" t="s">
        <v>229</v>
      </c>
    </row>
    <row r="9" customFormat="false" ht="29.85" hidden="false" customHeight="false" outlineLevel="0" collapsed="false">
      <c r="A9" s="8" t="s">
        <v>230</v>
      </c>
      <c r="B9" s="9" t="s">
        <v>208</v>
      </c>
      <c r="C9" s="8" t="s">
        <v>231</v>
      </c>
      <c r="D9" s="9" t="s">
        <v>197</v>
      </c>
      <c r="E9" s="8" t="s">
        <v>232</v>
      </c>
      <c r="F9" s="27" t="s">
        <v>43</v>
      </c>
      <c r="G9" s="8" t="s">
        <v>233</v>
      </c>
      <c r="H9" s="13"/>
      <c r="I9" s="9" t="s">
        <v>234</v>
      </c>
    </row>
    <row r="10" customFormat="false" ht="44" hidden="false" customHeight="false" outlineLevel="0" collapsed="false">
      <c r="A10" s="8" t="s">
        <v>235</v>
      </c>
      <c r="B10" s="9" t="s">
        <v>208</v>
      </c>
      <c r="C10" s="8" t="s">
        <v>236</v>
      </c>
      <c r="D10" s="9" t="s">
        <v>197</v>
      </c>
      <c r="E10" s="8" t="s">
        <v>237</v>
      </c>
      <c r="F10" s="27" t="s">
        <v>43</v>
      </c>
      <c r="G10" s="8" t="s">
        <v>238</v>
      </c>
      <c r="H10" s="13"/>
      <c r="I10" s="9" t="s">
        <v>239</v>
      </c>
    </row>
    <row r="11" customFormat="false" ht="29.85" hidden="false" customHeight="false" outlineLevel="0" collapsed="false">
      <c r="A11" s="8" t="s">
        <v>240</v>
      </c>
      <c r="B11" s="9" t="s">
        <v>208</v>
      </c>
      <c r="C11" s="8" t="s">
        <v>241</v>
      </c>
      <c r="D11" s="9" t="s">
        <v>197</v>
      </c>
      <c r="E11" s="8" t="s">
        <v>242</v>
      </c>
      <c r="F11" s="26" t="s">
        <v>45</v>
      </c>
      <c r="G11" s="9" t="s">
        <v>243</v>
      </c>
      <c r="H11" s="13"/>
      <c r="I11" s="9"/>
    </row>
    <row r="12" customFormat="false" ht="29.85" hidden="false" customHeight="false" outlineLevel="0" collapsed="false">
      <c r="A12" s="8" t="s">
        <v>244</v>
      </c>
      <c r="B12" s="8" t="s">
        <v>245</v>
      </c>
      <c r="C12" s="8" t="s">
        <v>246</v>
      </c>
      <c r="D12" s="9" t="s">
        <v>197</v>
      </c>
      <c r="E12" s="8" t="s">
        <v>247</v>
      </c>
      <c r="F12" s="25" t="s">
        <v>44</v>
      </c>
      <c r="G12" s="8" t="s">
        <v>248</v>
      </c>
      <c r="H12" s="13"/>
      <c r="I12" s="9" t="s">
        <v>249</v>
      </c>
    </row>
    <row r="13" customFormat="false" ht="29.85" hidden="false" customHeight="false" outlineLevel="0" collapsed="false">
      <c r="A13" s="8" t="s">
        <v>250</v>
      </c>
      <c r="B13" s="8" t="s">
        <v>245</v>
      </c>
      <c r="C13" s="9" t="s">
        <v>251</v>
      </c>
      <c r="D13" s="9" t="s">
        <v>197</v>
      </c>
      <c r="E13" s="8" t="s">
        <v>252</v>
      </c>
      <c r="F13" s="27" t="s">
        <v>43</v>
      </c>
      <c r="G13" s="9" t="s">
        <v>253</v>
      </c>
      <c r="H13" s="13"/>
      <c r="I13" s="9"/>
    </row>
    <row r="14" customFormat="false" ht="29.85" hidden="false" customHeight="false" outlineLevel="0" collapsed="false">
      <c r="A14" s="8" t="s">
        <v>254</v>
      </c>
      <c r="B14" s="8" t="s">
        <v>255</v>
      </c>
      <c r="C14" s="8" t="s">
        <v>256</v>
      </c>
      <c r="D14" s="9" t="s">
        <v>197</v>
      </c>
      <c r="E14" s="8" t="s">
        <v>257</v>
      </c>
      <c r="F14" s="26" t="s">
        <v>45</v>
      </c>
      <c r="G14" s="9" t="s">
        <v>258</v>
      </c>
      <c r="H14" s="13"/>
      <c r="I14" s="9"/>
    </row>
  </sheetData>
  <autoFilter ref="A1:I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42"/>
    <col collapsed="false" customWidth="true" hidden="false" outlineLevel="0" max="4" min="4" style="0" width="16"/>
    <col collapsed="false" customWidth="true" hidden="false" outlineLevel="0" max="5" min="5" style="0" width="40"/>
    <col collapsed="false" customWidth="true" hidden="false" outlineLevel="0" max="6" min="6" style="0" width="8"/>
    <col collapsed="false" customWidth="true" hidden="false" outlineLevel="0" max="7" min="7" style="0" width="40"/>
    <col collapsed="false" customWidth="true" hidden="false" outlineLevel="0" max="8" min="8" style="0" width="10"/>
    <col collapsed="false" customWidth="true" hidden="false" outlineLevel="0" max="9" min="9" style="0" width="30"/>
  </cols>
  <sheetData>
    <row r="1" customFormat="false" ht="21.75" hidden="false" customHeight="true" outlineLevel="0" collapsed="false">
      <c r="A1" s="23" t="s">
        <v>64</v>
      </c>
      <c r="B1" s="24" t="s">
        <v>65</v>
      </c>
      <c r="C1" s="24" t="s">
        <v>66</v>
      </c>
      <c r="D1" s="24" t="s">
        <v>67</v>
      </c>
      <c r="E1" s="24" t="s">
        <v>68</v>
      </c>
      <c r="F1" s="24" t="s">
        <v>69</v>
      </c>
      <c r="G1" s="24" t="s">
        <v>70</v>
      </c>
      <c r="H1" s="24" t="s">
        <v>71</v>
      </c>
      <c r="I1" s="24" t="s">
        <v>72</v>
      </c>
    </row>
    <row r="2" customFormat="false" ht="52.2" hidden="false" customHeight="false" outlineLevel="0" collapsed="false">
      <c r="A2" s="8" t="s">
        <v>259</v>
      </c>
      <c r="B2" s="8" t="s">
        <v>260</v>
      </c>
      <c r="C2" s="8" t="s">
        <v>261</v>
      </c>
      <c r="D2" s="9" t="s">
        <v>197</v>
      </c>
      <c r="E2" s="8" t="s">
        <v>262</v>
      </c>
      <c r="F2" s="27" t="s">
        <v>43</v>
      </c>
      <c r="G2" s="9" t="s">
        <v>263</v>
      </c>
      <c r="H2" s="13"/>
      <c r="I2" s="9" t="s">
        <v>264</v>
      </c>
    </row>
    <row r="3" customFormat="false" ht="29.85" hidden="false" customHeight="false" outlineLevel="0" collapsed="false">
      <c r="A3" s="8" t="s">
        <v>265</v>
      </c>
      <c r="B3" s="8" t="s">
        <v>260</v>
      </c>
      <c r="C3" s="8" t="s">
        <v>266</v>
      </c>
      <c r="D3" s="9" t="s">
        <v>197</v>
      </c>
      <c r="E3" s="8" t="s">
        <v>267</v>
      </c>
      <c r="F3" s="27" t="s">
        <v>43</v>
      </c>
      <c r="G3" s="8" t="s">
        <v>268</v>
      </c>
      <c r="H3" s="13"/>
      <c r="I3" s="9" t="s">
        <v>269</v>
      </c>
    </row>
    <row r="4" customFormat="false" ht="29.85" hidden="false" customHeight="false" outlineLevel="0" collapsed="false">
      <c r="A4" s="8" t="s">
        <v>270</v>
      </c>
      <c r="B4" s="8" t="s">
        <v>260</v>
      </c>
      <c r="C4" s="8" t="s">
        <v>271</v>
      </c>
      <c r="D4" s="9" t="s">
        <v>197</v>
      </c>
      <c r="E4" s="8" t="s">
        <v>272</v>
      </c>
      <c r="F4" s="27" t="s">
        <v>43</v>
      </c>
      <c r="G4" s="8" t="s">
        <v>273</v>
      </c>
      <c r="H4" s="13"/>
      <c r="I4" s="9" t="s">
        <v>269</v>
      </c>
    </row>
    <row r="5" customFormat="false" ht="80.55" hidden="false" customHeight="false" outlineLevel="0" collapsed="false">
      <c r="A5" s="8" t="s">
        <v>274</v>
      </c>
      <c r="B5" s="9" t="s">
        <v>275</v>
      </c>
      <c r="C5" s="8" t="s">
        <v>276</v>
      </c>
      <c r="D5" s="9" t="s">
        <v>197</v>
      </c>
      <c r="E5" s="8" t="s">
        <v>277</v>
      </c>
      <c r="F5" s="27" t="s">
        <v>43</v>
      </c>
      <c r="G5" s="9" t="s">
        <v>278</v>
      </c>
      <c r="H5" s="13"/>
      <c r="I5" s="8" t="s">
        <v>279</v>
      </c>
    </row>
    <row r="6" customFormat="false" ht="29.85" hidden="false" customHeight="false" outlineLevel="0" collapsed="false">
      <c r="A6" s="8" t="s">
        <v>280</v>
      </c>
      <c r="B6" s="8" t="s">
        <v>281</v>
      </c>
      <c r="C6" s="8" t="s">
        <v>282</v>
      </c>
      <c r="D6" s="9" t="s">
        <v>283</v>
      </c>
      <c r="E6" s="8" t="s">
        <v>284</v>
      </c>
      <c r="F6" s="27" t="s">
        <v>43</v>
      </c>
      <c r="G6" s="9" t="s">
        <v>285</v>
      </c>
      <c r="H6" s="13"/>
      <c r="I6" s="8" t="s">
        <v>286</v>
      </c>
    </row>
    <row r="7" customFormat="false" ht="29.85" hidden="false" customHeight="false" outlineLevel="0" collapsed="false">
      <c r="A7" s="8" t="s">
        <v>287</v>
      </c>
      <c r="B7" s="8" t="s">
        <v>152</v>
      </c>
      <c r="C7" s="8" t="s">
        <v>288</v>
      </c>
      <c r="D7" s="9" t="s">
        <v>76</v>
      </c>
      <c r="E7" s="8" t="s">
        <v>289</v>
      </c>
      <c r="F7" s="27" t="s">
        <v>43</v>
      </c>
      <c r="G7" s="8" t="s">
        <v>290</v>
      </c>
      <c r="H7" s="13"/>
      <c r="I7" s="9"/>
    </row>
    <row r="8" customFormat="false" ht="29.85" hidden="false" customHeight="false" outlineLevel="0" collapsed="false">
      <c r="A8" s="8" t="s">
        <v>291</v>
      </c>
      <c r="B8" s="9" t="s">
        <v>292</v>
      </c>
      <c r="C8" s="9" t="s">
        <v>293</v>
      </c>
      <c r="D8" s="9" t="s">
        <v>197</v>
      </c>
      <c r="E8" s="8" t="s">
        <v>294</v>
      </c>
      <c r="F8" s="27" t="s">
        <v>43</v>
      </c>
      <c r="G8" s="9" t="s">
        <v>295</v>
      </c>
      <c r="H8" s="13"/>
      <c r="I8" s="9" t="s">
        <v>296</v>
      </c>
    </row>
  </sheetData>
  <autoFilter ref="A1:I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42"/>
    <col collapsed="false" customWidth="true" hidden="false" outlineLevel="0" max="4" min="4" style="0" width="16"/>
    <col collapsed="false" customWidth="true" hidden="false" outlineLevel="0" max="5" min="5" style="0" width="40"/>
    <col collapsed="false" customWidth="true" hidden="false" outlineLevel="0" max="6" min="6" style="0" width="8"/>
    <col collapsed="false" customWidth="true" hidden="false" outlineLevel="0" max="7" min="7" style="0" width="40"/>
    <col collapsed="false" customWidth="true" hidden="false" outlineLevel="0" max="8" min="8" style="0" width="10"/>
    <col collapsed="false" customWidth="true" hidden="false" outlineLevel="0" max="9" min="9" style="0" width="30"/>
  </cols>
  <sheetData>
    <row r="1" customFormat="false" ht="21.75" hidden="false" customHeight="true" outlineLevel="0" collapsed="false">
      <c r="A1" s="23" t="s">
        <v>64</v>
      </c>
      <c r="B1" s="24" t="s">
        <v>65</v>
      </c>
      <c r="C1" s="24" t="s">
        <v>66</v>
      </c>
      <c r="D1" s="24" t="s">
        <v>67</v>
      </c>
      <c r="E1" s="24" t="s">
        <v>68</v>
      </c>
      <c r="F1" s="24" t="s">
        <v>69</v>
      </c>
      <c r="G1" s="24" t="s">
        <v>70</v>
      </c>
      <c r="H1" s="24" t="s">
        <v>71</v>
      </c>
      <c r="I1" s="24" t="s">
        <v>72</v>
      </c>
    </row>
    <row r="2" customFormat="false" ht="29.85" hidden="false" customHeight="false" outlineLevel="0" collapsed="false">
      <c r="A2" s="8" t="s">
        <v>297</v>
      </c>
      <c r="B2" s="8" t="s">
        <v>298</v>
      </c>
      <c r="C2" s="9" t="s">
        <v>299</v>
      </c>
      <c r="D2" s="9" t="s">
        <v>197</v>
      </c>
      <c r="E2" s="8" t="s">
        <v>300</v>
      </c>
      <c r="F2" s="25" t="s">
        <v>44</v>
      </c>
      <c r="G2" s="9" t="s">
        <v>301</v>
      </c>
      <c r="H2" s="13"/>
      <c r="I2" s="9"/>
    </row>
    <row r="3" customFormat="false" ht="29.85" hidden="false" customHeight="false" outlineLevel="0" collapsed="false">
      <c r="A3" s="8" t="s">
        <v>302</v>
      </c>
      <c r="B3" s="8" t="s">
        <v>298</v>
      </c>
      <c r="C3" s="8" t="s">
        <v>303</v>
      </c>
      <c r="D3" s="9" t="s">
        <v>197</v>
      </c>
      <c r="E3" s="8" t="s">
        <v>304</v>
      </c>
      <c r="F3" s="27" t="s">
        <v>43</v>
      </c>
      <c r="G3" s="9" t="s">
        <v>305</v>
      </c>
      <c r="H3" s="13"/>
      <c r="I3" s="9"/>
    </row>
    <row r="4" customFormat="false" ht="41" hidden="false" customHeight="false" outlineLevel="0" collapsed="false">
      <c r="A4" s="8" t="s">
        <v>306</v>
      </c>
      <c r="B4" s="8" t="s">
        <v>298</v>
      </c>
      <c r="C4" s="8" t="s">
        <v>307</v>
      </c>
      <c r="D4" s="9" t="s">
        <v>197</v>
      </c>
      <c r="E4" s="8" t="s">
        <v>308</v>
      </c>
      <c r="F4" s="27" t="s">
        <v>43</v>
      </c>
      <c r="G4" s="8" t="s">
        <v>309</v>
      </c>
      <c r="H4" s="13"/>
      <c r="I4" s="8" t="s">
        <v>310</v>
      </c>
    </row>
    <row r="5" customFormat="false" ht="26.85" hidden="false" customHeight="false" outlineLevel="0" collapsed="false">
      <c r="A5" s="8" t="s">
        <v>311</v>
      </c>
      <c r="B5" s="8" t="s">
        <v>298</v>
      </c>
      <c r="C5" s="8" t="s">
        <v>312</v>
      </c>
      <c r="D5" s="9" t="s">
        <v>197</v>
      </c>
      <c r="E5" s="8" t="s">
        <v>313</v>
      </c>
      <c r="F5" s="25" t="s">
        <v>44</v>
      </c>
      <c r="G5" s="8" t="s">
        <v>314</v>
      </c>
      <c r="H5" s="13"/>
      <c r="I5" s="9"/>
    </row>
    <row r="6" customFormat="false" ht="29.85" hidden="false" customHeight="false" outlineLevel="0" collapsed="false">
      <c r="A6" s="8" t="s">
        <v>315</v>
      </c>
      <c r="B6" s="8" t="s">
        <v>298</v>
      </c>
      <c r="C6" s="8" t="s">
        <v>316</v>
      </c>
      <c r="D6" s="9" t="s">
        <v>197</v>
      </c>
      <c r="E6" s="8" t="s">
        <v>317</v>
      </c>
      <c r="F6" s="25" t="s">
        <v>44</v>
      </c>
      <c r="G6" s="8" t="s">
        <v>318</v>
      </c>
      <c r="H6" s="13"/>
      <c r="I6" s="8" t="s">
        <v>319</v>
      </c>
    </row>
    <row r="7" customFormat="false" ht="29.85" hidden="false" customHeight="false" outlineLevel="0" collapsed="false">
      <c r="A7" s="8" t="s">
        <v>320</v>
      </c>
      <c r="B7" s="9" t="s">
        <v>321</v>
      </c>
      <c r="C7" s="9" t="s">
        <v>322</v>
      </c>
      <c r="D7" s="9" t="s">
        <v>197</v>
      </c>
      <c r="E7" s="9" t="s">
        <v>323</v>
      </c>
      <c r="F7" s="27" t="s">
        <v>43</v>
      </c>
      <c r="G7" s="9" t="s">
        <v>324</v>
      </c>
      <c r="H7" s="13"/>
      <c r="I7" s="9" t="s">
        <v>325</v>
      </c>
    </row>
    <row r="8" customFormat="false" ht="15" hidden="false" customHeight="false" outlineLevel="0" collapsed="false">
      <c r="A8" s="8" t="s">
        <v>326</v>
      </c>
      <c r="B8" s="9" t="s">
        <v>327</v>
      </c>
      <c r="C8" s="8" t="s">
        <v>328</v>
      </c>
      <c r="D8" s="9" t="s">
        <v>197</v>
      </c>
      <c r="E8" s="8" t="s">
        <v>329</v>
      </c>
      <c r="F8" s="27" t="s">
        <v>43</v>
      </c>
      <c r="G8" s="9" t="s">
        <v>330</v>
      </c>
      <c r="H8" s="13"/>
      <c r="I8" s="9"/>
    </row>
    <row r="9" customFormat="false" ht="29.85" hidden="false" customHeight="false" outlineLevel="0" collapsed="false">
      <c r="A9" s="8" t="s">
        <v>331</v>
      </c>
      <c r="B9" s="9" t="s">
        <v>332</v>
      </c>
      <c r="C9" s="8" t="s">
        <v>333</v>
      </c>
      <c r="D9" s="9" t="s">
        <v>197</v>
      </c>
      <c r="E9" s="8" t="s">
        <v>334</v>
      </c>
      <c r="F9" s="27" t="s">
        <v>43</v>
      </c>
      <c r="G9" s="9" t="s">
        <v>335</v>
      </c>
      <c r="H9" s="13"/>
      <c r="I9" s="9"/>
    </row>
    <row r="10" customFormat="false" ht="29.85" hidden="false" customHeight="false" outlineLevel="0" collapsed="false">
      <c r="A10" s="8" t="s">
        <v>336</v>
      </c>
      <c r="B10" s="9" t="s">
        <v>337</v>
      </c>
      <c r="C10" s="8" t="s">
        <v>338</v>
      </c>
      <c r="D10" s="9" t="s">
        <v>197</v>
      </c>
      <c r="E10" s="8" t="s">
        <v>339</v>
      </c>
      <c r="F10" s="26" t="s">
        <v>45</v>
      </c>
      <c r="G10" s="9" t="s">
        <v>340</v>
      </c>
      <c r="H10" s="13"/>
      <c r="I10" s="9"/>
    </row>
  </sheetData>
  <autoFilter ref="A1:I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42"/>
    <col collapsed="false" customWidth="true" hidden="false" outlineLevel="0" max="4" min="4" style="0" width="16"/>
    <col collapsed="false" customWidth="true" hidden="false" outlineLevel="0" max="5" min="5" style="0" width="40"/>
    <col collapsed="false" customWidth="true" hidden="false" outlineLevel="0" max="6" min="6" style="0" width="8"/>
    <col collapsed="false" customWidth="true" hidden="false" outlineLevel="0" max="7" min="7" style="0" width="40"/>
    <col collapsed="false" customWidth="true" hidden="false" outlineLevel="0" max="8" min="8" style="0" width="10"/>
    <col collapsed="false" customWidth="true" hidden="false" outlineLevel="0" max="9" min="9" style="0" width="30"/>
  </cols>
  <sheetData>
    <row r="1" customFormat="false" ht="21.75" hidden="false" customHeight="true" outlineLevel="0" collapsed="false">
      <c r="A1" s="23" t="s">
        <v>64</v>
      </c>
      <c r="B1" s="24" t="s">
        <v>65</v>
      </c>
      <c r="C1" s="24" t="s">
        <v>66</v>
      </c>
      <c r="D1" s="24" t="s">
        <v>67</v>
      </c>
      <c r="E1" s="24" t="s">
        <v>68</v>
      </c>
      <c r="F1" s="24" t="s">
        <v>69</v>
      </c>
      <c r="G1" s="24" t="s">
        <v>70</v>
      </c>
      <c r="H1" s="24" t="s">
        <v>71</v>
      </c>
      <c r="I1" s="24" t="s">
        <v>72</v>
      </c>
    </row>
    <row r="2" customFormat="false" ht="29.85" hidden="false" customHeight="false" outlineLevel="0" collapsed="false">
      <c r="A2" s="8" t="s">
        <v>341</v>
      </c>
      <c r="B2" s="8" t="s">
        <v>342</v>
      </c>
      <c r="C2" s="8" t="s">
        <v>343</v>
      </c>
      <c r="D2" s="9" t="s">
        <v>197</v>
      </c>
      <c r="E2" s="8" t="s">
        <v>344</v>
      </c>
      <c r="F2" s="25" t="s">
        <v>44</v>
      </c>
      <c r="G2" s="9" t="s">
        <v>345</v>
      </c>
      <c r="H2" s="13"/>
      <c r="I2" s="9"/>
    </row>
    <row r="3" customFormat="false" ht="29.85" hidden="false" customHeight="false" outlineLevel="0" collapsed="false">
      <c r="A3" s="8" t="s">
        <v>346</v>
      </c>
      <c r="B3" s="8" t="s">
        <v>342</v>
      </c>
      <c r="C3" s="8" t="s">
        <v>347</v>
      </c>
      <c r="D3" s="9" t="s">
        <v>197</v>
      </c>
      <c r="E3" s="8" t="s">
        <v>348</v>
      </c>
      <c r="F3" s="26" t="s">
        <v>45</v>
      </c>
      <c r="G3" s="8" t="s">
        <v>349</v>
      </c>
      <c r="H3" s="13"/>
      <c r="I3" s="9"/>
    </row>
    <row r="4" customFormat="false" ht="26.85" hidden="false" customHeight="false" outlineLevel="0" collapsed="false">
      <c r="A4" s="8" t="s">
        <v>350</v>
      </c>
      <c r="B4" s="8" t="s">
        <v>351</v>
      </c>
      <c r="C4" s="8" t="s">
        <v>352</v>
      </c>
      <c r="D4" s="9" t="s">
        <v>197</v>
      </c>
      <c r="E4" s="8" t="s">
        <v>353</v>
      </c>
      <c r="F4" s="27" t="s">
        <v>43</v>
      </c>
      <c r="G4" s="9" t="s">
        <v>354</v>
      </c>
      <c r="H4" s="13"/>
      <c r="I4" s="9" t="s">
        <v>325</v>
      </c>
    </row>
    <row r="5" customFormat="false" ht="23.85" hidden="false" customHeight="false" outlineLevel="0" collapsed="false">
      <c r="A5" s="8" t="s">
        <v>355</v>
      </c>
      <c r="B5" s="8" t="s">
        <v>351</v>
      </c>
      <c r="C5" s="8" t="s">
        <v>356</v>
      </c>
      <c r="D5" s="9" t="s">
        <v>197</v>
      </c>
      <c r="E5" s="8" t="s">
        <v>357</v>
      </c>
      <c r="F5" s="27" t="s">
        <v>43</v>
      </c>
      <c r="G5" s="9" t="s">
        <v>358</v>
      </c>
      <c r="H5" s="13"/>
      <c r="I5" s="9"/>
    </row>
    <row r="6" customFormat="false" ht="15" hidden="false" customHeight="false" outlineLevel="0" collapsed="false">
      <c r="A6" s="8" t="s">
        <v>359</v>
      </c>
      <c r="B6" s="8" t="s">
        <v>351</v>
      </c>
      <c r="C6" s="8" t="s">
        <v>360</v>
      </c>
      <c r="D6" s="9" t="s">
        <v>197</v>
      </c>
      <c r="E6" s="8" t="s">
        <v>361</v>
      </c>
      <c r="F6" s="25" t="s">
        <v>44</v>
      </c>
      <c r="G6" s="9" t="s">
        <v>362</v>
      </c>
      <c r="H6" s="13"/>
      <c r="I6" s="9"/>
    </row>
    <row r="7" customFormat="false" ht="29.85" hidden="false" customHeight="false" outlineLevel="0" collapsed="false">
      <c r="A7" s="8" t="s">
        <v>363</v>
      </c>
      <c r="B7" s="8" t="s">
        <v>351</v>
      </c>
      <c r="C7" s="8" t="s">
        <v>364</v>
      </c>
      <c r="D7" s="9" t="s">
        <v>197</v>
      </c>
      <c r="E7" s="8" t="s">
        <v>365</v>
      </c>
      <c r="F7" s="25" t="s">
        <v>44</v>
      </c>
      <c r="G7" s="9" t="s">
        <v>366</v>
      </c>
      <c r="H7" s="13"/>
      <c r="I7" s="9"/>
    </row>
    <row r="8" customFormat="false" ht="29.85" hidden="false" customHeight="false" outlineLevel="0" collapsed="false">
      <c r="A8" s="8" t="s">
        <v>367</v>
      </c>
      <c r="B8" s="8" t="s">
        <v>368</v>
      </c>
      <c r="C8" s="8" t="s">
        <v>369</v>
      </c>
      <c r="D8" s="9" t="s">
        <v>197</v>
      </c>
      <c r="E8" s="8" t="s">
        <v>370</v>
      </c>
      <c r="F8" s="25" t="s">
        <v>44</v>
      </c>
      <c r="G8" s="9" t="s">
        <v>371</v>
      </c>
      <c r="H8" s="13"/>
      <c r="I8" s="9"/>
    </row>
    <row r="9" customFormat="false" ht="29.85" hidden="false" customHeight="false" outlineLevel="0" collapsed="false">
      <c r="A9" s="8" t="s">
        <v>372</v>
      </c>
      <c r="B9" s="9" t="s">
        <v>373</v>
      </c>
      <c r="C9" s="8" t="s">
        <v>374</v>
      </c>
      <c r="D9" s="9" t="s">
        <v>375</v>
      </c>
      <c r="E9" s="8" t="s">
        <v>376</v>
      </c>
      <c r="F9" s="25" t="s">
        <v>44</v>
      </c>
      <c r="G9" s="8" t="s">
        <v>377</v>
      </c>
      <c r="H9" s="13"/>
      <c r="I9" s="9"/>
    </row>
    <row r="10" customFormat="false" ht="23.85" hidden="false" customHeight="false" outlineLevel="0" collapsed="false">
      <c r="A10" s="8" t="s">
        <v>378</v>
      </c>
      <c r="B10" s="9" t="s">
        <v>379</v>
      </c>
      <c r="C10" s="9" t="s">
        <v>380</v>
      </c>
      <c r="D10" s="9" t="s">
        <v>197</v>
      </c>
      <c r="E10" s="8" t="s">
        <v>381</v>
      </c>
      <c r="F10" s="25" t="s">
        <v>44</v>
      </c>
      <c r="G10" s="9" t="s">
        <v>382</v>
      </c>
      <c r="H10" s="13"/>
      <c r="I10" s="9"/>
    </row>
    <row r="11" customFormat="false" ht="29.85" hidden="false" customHeight="false" outlineLevel="0" collapsed="false">
      <c r="A11" s="8" t="s">
        <v>383</v>
      </c>
      <c r="B11" s="9" t="s">
        <v>384</v>
      </c>
      <c r="C11" s="9" t="s">
        <v>385</v>
      </c>
      <c r="D11" s="9" t="s">
        <v>197</v>
      </c>
      <c r="E11" s="8" t="s">
        <v>386</v>
      </c>
      <c r="F11" s="25" t="s">
        <v>44</v>
      </c>
      <c r="G11" s="9" t="s">
        <v>387</v>
      </c>
      <c r="H11" s="13"/>
      <c r="I11" s="9"/>
    </row>
  </sheetData>
  <autoFilter ref="A1:I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42"/>
    <col collapsed="false" customWidth="true" hidden="false" outlineLevel="0" max="4" min="4" style="0" width="16"/>
    <col collapsed="false" customWidth="true" hidden="false" outlineLevel="0" max="5" min="5" style="0" width="40"/>
    <col collapsed="false" customWidth="true" hidden="false" outlineLevel="0" max="6" min="6" style="0" width="8"/>
    <col collapsed="false" customWidth="true" hidden="false" outlineLevel="0" max="7" min="7" style="0" width="40"/>
    <col collapsed="false" customWidth="true" hidden="false" outlineLevel="0" max="8" min="8" style="0" width="10"/>
    <col collapsed="false" customWidth="true" hidden="false" outlineLevel="0" max="9" min="9" style="0" width="30"/>
  </cols>
  <sheetData>
    <row r="1" customFormat="false" ht="21.75" hidden="false" customHeight="true" outlineLevel="0" collapsed="false">
      <c r="A1" s="23" t="s">
        <v>64</v>
      </c>
      <c r="B1" s="24" t="s">
        <v>65</v>
      </c>
      <c r="C1" s="24" t="s">
        <v>66</v>
      </c>
      <c r="D1" s="24" t="s">
        <v>67</v>
      </c>
      <c r="E1" s="24" t="s">
        <v>68</v>
      </c>
      <c r="F1" s="24" t="s">
        <v>69</v>
      </c>
      <c r="G1" s="24" t="s">
        <v>70</v>
      </c>
      <c r="H1" s="24" t="s">
        <v>71</v>
      </c>
      <c r="I1" s="24" t="s">
        <v>72</v>
      </c>
    </row>
    <row r="2" customFormat="false" ht="29.85" hidden="false" customHeight="false" outlineLevel="0" collapsed="false">
      <c r="A2" s="8" t="s">
        <v>388</v>
      </c>
      <c r="B2" s="8" t="s">
        <v>152</v>
      </c>
      <c r="C2" s="8" t="s">
        <v>389</v>
      </c>
      <c r="D2" s="9" t="s">
        <v>197</v>
      </c>
      <c r="E2" s="8" t="s">
        <v>390</v>
      </c>
      <c r="F2" s="27" t="s">
        <v>43</v>
      </c>
      <c r="G2" s="8" t="s">
        <v>391</v>
      </c>
      <c r="H2" s="13"/>
      <c r="I2" s="9"/>
    </row>
    <row r="3" customFormat="false" ht="41" hidden="false" customHeight="false" outlineLevel="0" collapsed="false">
      <c r="A3" s="8" t="s">
        <v>392</v>
      </c>
      <c r="B3" s="8" t="s">
        <v>152</v>
      </c>
      <c r="C3" s="8" t="s">
        <v>393</v>
      </c>
      <c r="D3" s="9" t="s">
        <v>197</v>
      </c>
      <c r="E3" s="8" t="s">
        <v>394</v>
      </c>
      <c r="F3" s="27" t="s">
        <v>43</v>
      </c>
      <c r="G3" s="9" t="s">
        <v>395</v>
      </c>
      <c r="H3" s="13"/>
      <c r="I3" s="8" t="s">
        <v>396</v>
      </c>
    </row>
    <row r="4" customFormat="false" ht="35.05" hidden="false" customHeight="false" outlineLevel="0" collapsed="false">
      <c r="A4" s="8" t="s">
        <v>397</v>
      </c>
      <c r="B4" s="8" t="s">
        <v>152</v>
      </c>
      <c r="C4" s="8" t="s">
        <v>398</v>
      </c>
      <c r="D4" s="9" t="s">
        <v>399</v>
      </c>
      <c r="E4" s="8" t="s">
        <v>400</v>
      </c>
      <c r="F4" s="27" t="s">
        <v>43</v>
      </c>
      <c r="G4" s="9" t="s">
        <v>401</v>
      </c>
      <c r="H4" s="13"/>
      <c r="I4" s="9"/>
    </row>
    <row r="5" customFormat="false" ht="29.85" hidden="false" customHeight="false" outlineLevel="0" collapsed="false">
      <c r="A5" s="8" t="s">
        <v>402</v>
      </c>
      <c r="B5" s="8" t="s">
        <v>152</v>
      </c>
      <c r="C5" s="8" t="s">
        <v>403</v>
      </c>
      <c r="D5" s="9" t="s">
        <v>197</v>
      </c>
      <c r="E5" s="8" t="s">
        <v>404</v>
      </c>
      <c r="F5" s="27" t="s">
        <v>43</v>
      </c>
      <c r="G5" s="8" t="s">
        <v>405</v>
      </c>
      <c r="H5" s="13"/>
      <c r="I5" s="9" t="s">
        <v>406</v>
      </c>
    </row>
    <row r="6" customFormat="false" ht="29.85" hidden="false" customHeight="false" outlineLevel="0" collapsed="false">
      <c r="A6" s="8" t="s">
        <v>407</v>
      </c>
      <c r="B6" s="8" t="s">
        <v>408</v>
      </c>
      <c r="C6" s="9" t="s">
        <v>409</v>
      </c>
      <c r="D6" s="9" t="s">
        <v>197</v>
      </c>
      <c r="E6" s="8" t="s">
        <v>410</v>
      </c>
      <c r="F6" s="27" t="s">
        <v>43</v>
      </c>
      <c r="G6" s="8" t="s">
        <v>411</v>
      </c>
      <c r="H6" s="13"/>
      <c r="I6" s="8" t="s">
        <v>412</v>
      </c>
    </row>
    <row r="7" customFormat="false" ht="29.85" hidden="false" customHeight="false" outlineLevel="0" collapsed="false">
      <c r="A7" s="8" t="s">
        <v>413</v>
      </c>
      <c r="B7" s="8" t="s">
        <v>414</v>
      </c>
      <c r="C7" s="9" t="s">
        <v>415</v>
      </c>
      <c r="D7" s="9" t="s">
        <v>197</v>
      </c>
      <c r="E7" s="8" t="s">
        <v>416</v>
      </c>
      <c r="F7" s="27" t="s">
        <v>43</v>
      </c>
      <c r="G7" s="9" t="s">
        <v>417</v>
      </c>
      <c r="H7" s="13"/>
      <c r="I7" s="8" t="s">
        <v>418</v>
      </c>
    </row>
    <row r="8" customFormat="false" ht="29.85" hidden="false" customHeight="false" outlineLevel="0" collapsed="false">
      <c r="A8" s="8" t="s">
        <v>419</v>
      </c>
      <c r="B8" s="8" t="s">
        <v>152</v>
      </c>
      <c r="C8" s="8" t="s">
        <v>420</v>
      </c>
      <c r="D8" s="9" t="s">
        <v>197</v>
      </c>
      <c r="E8" s="8" t="s">
        <v>421</v>
      </c>
      <c r="F8" s="25" t="s">
        <v>44</v>
      </c>
      <c r="G8" s="9" t="s">
        <v>422</v>
      </c>
      <c r="H8" s="13"/>
      <c r="I8" s="9"/>
    </row>
    <row r="9" customFormat="false" ht="15" hidden="false" customHeight="false" outlineLevel="0" collapsed="false">
      <c r="A9" s="8" t="s">
        <v>423</v>
      </c>
      <c r="B9" s="8" t="s">
        <v>152</v>
      </c>
      <c r="C9" s="8" t="s">
        <v>424</v>
      </c>
      <c r="D9" s="9" t="s">
        <v>197</v>
      </c>
      <c r="E9" s="9" t="s">
        <v>425</v>
      </c>
      <c r="F9" s="25" t="s">
        <v>44</v>
      </c>
      <c r="G9" s="9" t="s">
        <v>426</v>
      </c>
      <c r="H9" s="13"/>
      <c r="I9" s="9"/>
    </row>
  </sheetData>
  <autoFilter ref="A1:I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42"/>
    <col collapsed="false" customWidth="true" hidden="false" outlineLevel="0" max="4" min="4" style="0" width="16"/>
    <col collapsed="false" customWidth="true" hidden="false" outlineLevel="0" max="5" min="5" style="0" width="40"/>
    <col collapsed="false" customWidth="true" hidden="false" outlineLevel="0" max="6" min="6" style="0" width="8"/>
    <col collapsed="false" customWidth="true" hidden="false" outlineLevel="0" max="7" min="7" style="0" width="40"/>
    <col collapsed="false" customWidth="true" hidden="false" outlineLevel="0" max="8" min="8" style="0" width="10"/>
    <col collapsed="false" customWidth="true" hidden="false" outlineLevel="0" max="9" min="9" style="0" width="30"/>
  </cols>
  <sheetData>
    <row r="1" customFormat="false" ht="21.75" hidden="false" customHeight="true" outlineLevel="0" collapsed="false">
      <c r="A1" s="23" t="s">
        <v>64</v>
      </c>
      <c r="B1" s="24" t="s">
        <v>65</v>
      </c>
      <c r="C1" s="24" t="s">
        <v>66</v>
      </c>
      <c r="D1" s="24" t="s">
        <v>67</v>
      </c>
      <c r="E1" s="24" t="s">
        <v>68</v>
      </c>
      <c r="F1" s="24" t="s">
        <v>69</v>
      </c>
      <c r="G1" s="24" t="s">
        <v>70</v>
      </c>
      <c r="H1" s="24" t="s">
        <v>71</v>
      </c>
      <c r="I1" s="24" t="s">
        <v>72</v>
      </c>
    </row>
    <row r="2" customFormat="false" ht="44" hidden="false" customHeight="false" outlineLevel="0" collapsed="false">
      <c r="A2" s="8" t="s">
        <v>427</v>
      </c>
      <c r="B2" s="9" t="s">
        <v>428</v>
      </c>
      <c r="C2" s="9" t="s">
        <v>429</v>
      </c>
      <c r="D2" s="9" t="s">
        <v>76</v>
      </c>
      <c r="E2" s="8" t="s">
        <v>430</v>
      </c>
      <c r="F2" s="25" t="s">
        <v>44</v>
      </c>
      <c r="G2" s="8" t="s">
        <v>78</v>
      </c>
      <c r="H2" s="13"/>
      <c r="I2" s="9"/>
    </row>
    <row r="3" customFormat="false" ht="29.85" hidden="false" customHeight="false" outlineLevel="0" collapsed="false">
      <c r="A3" s="8" t="s">
        <v>431</v>
      </c>
      <c r="B3" s="9" t="s">
        <v>428</v>
      </c>
      <c r="C3" s="8" t="s">
        <v>432</v>
      </c>
      <c r="D3" s="9" t="s">
        <v>197</v>
      </c>
      <c r="E3" s="8" t="s">
        <v>433</v>
      </c>
      <c r="F3" s="25" t="s">
        <v>44</v>
      </c>
      <c r="G3" s="8" t="s">
        <v>434</v>
      </c>
      <c r="H3" s="13"/>
      <c r="I3" s="9"/>
    </row>
    <row r="4" customFormat="false" ht="29.85" hidden="false" customHeight="false" outlineLevel="0" collapsed="false">
      <c r="A4" s="8" t="s">
        <v>435</v>
      </c>
      <c r="B4" s="9" t="s">
        <v>436</v>
      </c>
      <c r="C4" s="8" t="s">
        <v>437</v>
      </c>
      <c r="D4" s="9" t="s">
        <v>76</v>
      </c>
      <c r="E4" s="8" t="s">
        <v>438</v>
      </c>
      <c r="F4" s="27" t="s">
        <v>43</v>
      </c>
      <c r="G4" s="8" t="s">
        <v>141</v>
      </c>
      <c r="H4" s="13"/>
      <c r="I4" s="8" t="s">
        <v>439</v>
      </c>
    </row>
    <row r="5" customFormat="false" ht="35.05" hidden="false" customHeight="false" outlineLevel="0" collapsed="false">
      <c r="A5" s="8" t="s">
        <v>440</v>
      </c>
      <c r="B5" s="9" t="s">
        <v>441</v>
      </c>
      <c r="C5" s="8" t="s">
        <v>442</v>
      </c>
      <c r="D5" s="9" t="s">
        <v>197</v>
      </c>
      <c r="E5" s="8" t="s">
        <v>443</v>
      </c>
      <c r="F5" s="25" t="s">
        <v>44</v>
      </c>
      <c r="G5" s="9" t="s">
        <v>444</v>
      </c>
      <c r="H5" s="13"/>
      <c r="I5" s="9"/>
    </row>
    <row r="6" customFormat="false" ht="29.85" hidden="false" customHeight="false" outlineLevel="0" collapsed="false">
      <c r="A6" s="8" t="s">
        <v>445</v>
      </c>
      <c r="B6" s="9" t="s">
        <v>446</v>
      </c>
      <c r="C6" s="9" t="s">
        <v>447</v>
      </c>
      <c r="D6" s="9" t="s">
        <v>197</v>
      </c>
      <c r="E6" s="8" t="s">
        <v>448</v>
      </c>
      <c r="F6" s="25" t="s">
        <v>44</v>
      </c>
      <c r="G6" s="9" t="s">
        <v>449</v>
      </c>
      <c r="H6" s="13"/>
      <c r="I6" s="9"/>
    </row>
    <row r="7" customFormat="false" ht="38.05" hidden="false" customHeight="false" outlineLevel="0" collapsed="false">
      <c r="A7" s="8" t="s">
        <v>450</v>
      </c>
      <c r="B7" s="8" t="s">
        <v>451</v>
      </c>
      <c r="C7" s="8" t="s">
        <v>452</v>
      </c>
      <c r="D7" s="9" t="s">
        <v>197</v>
      </c>
      <c r="E7" s="8" t="s">
        <v>453</v>
      </c>
      <c r="F7" s="26" t="s">
        <v>45</v>
      </c>
      <c r="G7" s="9" t="s">
        <v>454</v>
      </c>
      <c r="H7" s="13"/>
      <c r="I7" s="9"/>
    </row>
  </sheetData>
  <autoFilter ref="A1:I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42"/>
    <col collapsed="false" customWidth="true" hidden="false" outlineLevel="0" max="4" min="4" style="0" width="16"/>
    <col collapsed="false" customWidth="true" hidden="false" outlineLevel="0" max="5" min="5" style="0" width="40"/>
    <col collapsed="false" customWidth="true" hidden="false" outlineLevel="0" max="6" min="6" style="0" width="8"/>
    <col collapsed="false" customWidth="true" hidden="false" outlineLevel="0" max="7" min="7" style="0" width="40"/>
    <col collapsed="false" customWidth="true" hidden="false" outlineLevel="0" max="8" min="8" style="0" width="10"/>
    <col collapsed="false" customWidth="true" hidden="false" outlineLevel="0" max="9" min="9" style="0" width="30"/>
  </cols>
  <sheetData>
    <row r="1" customFormat="false" ht="21.75" hidden="false" customHeight="true" outlineLevel="0" collapsed="false">
      <c r="A1" s="23" t="s">
        <v>64</v>
      </c>
      <c r="B1" s="24" t="s">
        <v>65</v>
      </c>
      <c r="C1" s="24" t="s">
        <v>66</v>
      </c>
      <c r="D1" s="24" t="s">
        <v>67</v>
      </c>
      <c r="E1" s="24" t="s">
        <v>68</v>
      </c>
      <c r="F1" s="24" t="s">
        <v>69</v>
      </c>
      <c r="G1" s="24" t="s">
        <v>70</v>
      </c>
      <c r="H1" s="24" t="s">
        <v>71</v>
      </c>
      <c r="I1" s="24" t="s">
        <v>72</v>
      </c>
    </row>
    <row r="2" customFormat="false" ht="26.85" hidden="false" customHeight="false" outlineLevel="0" collapsed="false">
      <c r="A2" s="8" t="s">
        <v>455</v>
      </c>
      <c r="B2" s="9" t="s">
        <v>456</v>
      </c>
      <c r="C2" s="8" t="s">
        <v>457</v>
      </c>
      <c r="D2" s="9" t="s">
        <v>197</v>
      </c>
      <c r="E2" s="8" t="s">
        <v>458</v>
      </c>
      <c r="F2" s="25" t="s">
        <v>44</v>
      </c>
      <c r="G2" s="9" t="s">
        <v>459</v>
      </c>
      <c r="H2" s="13"/>
      <c r="I2" s="9"/>
    </row>
    <row r="3" customFormat="false" ht="29.85" hidden="false" customHeight="false" outlineLevel="0" collapsed="false">
      <c r="A3" s="8" t="s">
        <v>460</v>
      </c>
      <c r="B3" s="9" t="s">
        <v>461</v>
      </c>
      <c r="C3" s="8" t="s">
        <v>462</v>
      </c>
      <c r="D3" s="9" t="s">
        <v>197</v>
      </c>
      <c r="E3" s="8" t="s">
        <v>463</v>
      </c>
      <c r="F3" s="27" t="s">
        <v>43</v>
      </c>
      <c r="G3" s="9" t="s">
        <v>464</v>
      </c>
      <c r="H3" s="13"/>
      <c r="I3" s="8" t="s">
        <v>465</v>
      </c>
    </row>
    <row r="4" customFormat="false" ht="29.85" hidden="false" customHeight="false" outlineLevel="0" collapsed="false">
      <c r="A4" s="8" t="s">
        <v>466</v>
      </c>
      <c r="B4" s="9" t="s">
        <v>467</v>
      </c>
      <c r="C4" s="8" t="s">
        <v>468</v>
      </c>
      <c r="D4" s="9" t="s">
        <v>197</v>
      </c>
      <c r="E4" s="8" t="s">
        <v>469</v>
      </c>
      <c r="F4" s="25" t="s">
        <v>44</v>
      </c>
      <c r="G4" s="9" t="s">
        <v>470</v>
      </c>
      <c r="H4" s="13"/>
      <c r="I4" s="9" t="s">
        <v>471</v>
      </c>
    </row>
    <row r="5" customFormat="false" ht="29.85" hidden="false" customHeight="false" outlineLevel="0" collapsed="false">
      <c r="A5" s="8" t="s">
        <v>472</v>
      </c>
      <c r="B5" s="9" t="s">
        <v>473</v>
      </c>
      <c r="C5" s="8" t="s">
        <v>474</v>
      </c>
      <c r="D5" s="9" t="s">
        <v>197</v>
      </c>
      <c r="E5" s="8" t="s">
        <v>475</v>
      </c>
      <c r="F5" s="25" t="s">
        <v>44</v>
      </c>
      <c r="G5" s="9" t="s">
        <v>476</v>
      </c>
      <c r="H5" s="13"/>
      <c r="I5" s="9"/>
    </row>
    <row r="6" customFormat="false" ht="29.85" hidden="false" customHeight="false" outlineLevel="0" collapsed="false">
      <c r="A6" s="8" t="s">
        <v>477</v>
      </c>
      <c r="B6" s="9" t="s">
        <v>478</v>
      </c>
      <c r="C6" s="8" t="s">
        <v>479</v>
      </c>
      <c r="D6" s="9" t="s">
        <v>197</v>
      </c>
      <c r="E6" s="8" t="s">
        <v>480</v>
      </c>
      <c r="F6" s="26" t="s">
        <v>45</v>
      </c>
      <c r="G6" s="9" t="s">
        <v>481</v>
      </c>
      <c r="H6" s="13"/>
      <c r="I6" s="9"/>
    </row>
    <row r="7" customFormat="false" ht="29.85" hidden="false" customHeight="false" outlineLevel="0" collapsed="false">
      <c r="A7" s="8" t="s">
        <v>482</v>
      </c>
      <c r="B7" s="9" t="s">
        <v>483</v>
      </c>
      <c r="C7" s="8" t="s">
        <v>484</v>
      </c>
      <c r="D7" s="9" t="s">
        <v>197</v>
      </c>
      <c r="E7" s="8" t="s">
        <v>485</v>
      </c>
      <c r="F7" s="25" t="s">
        <v>44</v>
      </c>
      <c r="G7" s="9" t="s">
        <v>486</v>
      </c>
      <c r="H7" s="13"/>
      <c r="I7" s="9"/>
    </row>
    <row r="8" customFormat="false" ht="15" hidden="false" customHeight="false" outlineLevel="0" collapsed="false">
      <c r="A8" s="8" t="s">
        <v>487</v>
      </c>
      <c r="B8" s="9" t="s">
        <v>488</v>
      </c>
      <c r="C8" s="8" t="s">
        <v>489</v>
      </c>
      <c r="D8" s="9" t="s">
        <v>197</v>
      </c>
      <c r="E8" s="8" t="s">
        <v>490</v>
      </c>
      <c r="F8" s="26" t="s">
        <v>45</v>
      </c>
      <c r="G8" s="9" t="s">
        <v>491</v>
      </c>
      <c r="H8" s="13"/>
      <c r="I8" s="9"/>
    </row>
    <row r="9" customFormat="false" ht="29.85" hidden="false" customHeight="false" outlineLevel="0" collapsed="false">
      <c r="A9" s="8" t="s">
        <v>492</v>
      </c>
      <c r="B9" s="8" t="s">
        <v>493</v>
      </c>
      <c r="C9" s="8" t="s">
        <v>494</v>
      </c>
      <c r="D9" s="9" t="s">
        <v>197</v>
      </c>
      <c r="E9" s="8" t="s">
        <v>495</v>
      </c>
      <c r="F9" s="27" t="s">
        <v>43</v>
      </c>
      <c r="G9" s="9" t="s">
        <v>496</v>
      </c>
      <c r="H9" s="13"/>
      <c r="I9" s="8" t="s">
        <v>497</v>
      </c>
    </row>
  </sheetData>
  <autoFilter ref="A1:I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42"/>
    <col collapsed="false" customWidth="true" hidden="false" outlineLevel="0" max="4" min="4" style="0" width="16"/>
    <col collapsed="false" customWidth="true" hidden="false" outlineLevel="0" max="5" min="5" style="0" width="40"/>
    <col collapsed="false" customWidth="true" hidden="false" outlineLevel="0" max="6" min="6" style="0" width="8"/>
    <col collapsed="false" customWidth="true" hidden="false" outlineLevel="0" max="7" min="7" style="0" width="40"/>
    <col collapsed="false" customWidth="true" hidden="false" outlineLevel="0" max="8" min="8" style="0" width="10"/>
    <col collapsed="false" customWidth="true" hidden="false" outlineLevel="0" max="9" min="9" style="0" width="30"/>
  </cols>
  <sheetData>
    <row r="1" customFormat="false" ht="21.75" hidden="false" customHeight="true" outlineLevel="0" collapsed="false">
      <c r="A1" s="23" t="s">
        <v>64</v>
      </c>
      <c r="B1" s="24" t="s">
        <v>65</v>
      </c>
      <c r="C1" s="24" t="s">
        <v>66</v>
      </c>
      <c r="D1" s="24" t="s">
        <v>67</v>
      </c>
      <c r="E1" s="24" t="s">
        <v>68</v>
      </c>
      <c r="F1" s="24" t="s">
        <v>69</v>
      </c>
      <c r="G1" s="24" t="s">
        <v>70</v>
      </c>
      <c r="H1" s="24" t="s">
        <v>71</v>
      </c>
      <c r="I1" s="24" t="s">
        <v>72</v>
      </c>
    </row>
    <row r="2" customFormat="false" ht="49.25" hidden="false" customHeight="false" outlineLevel="0" collapsed="false">
      <c r="A2" s="8" t="s">
        <v>498</v>
      </c>
      <c r="B2" s="9" t="s">
        <v>499</v>
      </c>
      <c r="C2" s="8" t="s">
        <v>500</v>
      </c>
      <c r="D2" s="9" t="s">
        <v>197</v>
      </c>
      <c r="E2" s="9" t="s">
        <v>501</v>
      </c>
      <c r="F2" s="25" t="s">
        <v>44</v>
      </c>
      <c r="G2" s="8" t="s">
        <v>502</v>
      </c>
      <c r="H2" s="13"/>
      <c r="I2" s="8" t="s">
        <v>503</v>
      </c>
    </row>
    <row r="3" customFormat="false" ht="29.85" hidden="false" customHeight="false" outlineLevel="0" collapsed="false">
      <c r="A3" s="8" t="s">
        <v>504</v>
      </c>
      <c r="B3" s="8" t="s">
        <v>505</v>
      </c>
      <c r="C3" s="8" t="s">
        <v>506</v>
      </c>
      <c r="D3" s="9" t="s">
        <v>76</v>
      </c>
      <c r="E3" s="8" t="s">
        <v>507</v>
      </c>
      <c r="F3" s="27" t="s">
        <v>43</v>
      </c>
      <c r="G3" s="9" t="s">
        <v>508</v>
      </c>
      <c r="H3" s="13"/>
      <c r="I3" s="9"/>
    </row>
    <row r="4" customFormat="false" ht="58.2" hidden="false" customHeight="false" outlineLevel="0" collapsed="false">
      <c r="A4" s="8" t="s">
        <v>509</v>
      </c>
      <c r="B4" s="8" t="s">
        <v>510</v>
      </c>
      <c r="C4" s="9" t="s">
        <v>511</v>
      </c>
      <c r="D4" s="9" t="s">
        <v>197</v>
      </c>
      <c r="E4" s="8" t="s">
        <v>512</v>
      </c>
      <c r="F4" s="25" t="s">
        <v>44</v>
      </c>
      <c r="G4" s="9" t="s">
        <v>513</v>
      </c>
      <c r="H4" s="13"/>
      <c r="I4" s="8" t="s">
        <v>514</v>
      </c>
    </row>
    <row r="5" customFormat="false" ht="58.2" hidden="false" customHeight="false" outlineLevel="0" collapsed="false">
      <c r="A5" s="8" t="s">
        <v>515</v>
      </c>
      <c r="B5" s="9" t="s">
        <v>516</v>
      </c>
      <c r="C5" s="9" t="s">
        <v>517</v>
      </c>
      <c r="D5" s="9" t="s">
        <v>197</v>
      </c>
      <c r="E5" s="9" t="s">
        <v>518</v>
      </c>
      <c r="F5" s="27" t="s">
        <v>43</v>
      </c>
      <c r="G5" s="9" t="s">
        <v>519</v>
      </c>
      <c r="H5" s="13"/>
      <c r="I5" s="8" t="s">
        <v>520</v>
      </c>
    </row>
    <row r="6" customFormat="false" ht="29.85" hidden="false" customHeight="false" outlineLevel="0" collapsed="false">
      <c r="A6" s="8" t="s">
        <v>521</v>
      </c>
      <c r="B6" s="8" t="s">
        <v>522</v>
      </c>
      <c r="C6" s="9" t="s">
        <v>523</v>
      </c>
      <c r="D6" s="9" t="s">
        <v>524</v>
      </c>
      <c r="E6" s="9" t="s">
        <v>525</v>
      </c>
      <c r="F6" s="26" t="s">
        <v>45</v>
      </c>
      <c r="G6" s="9" t="s">
        <v>526</v>
      </c>
      <c r="H6" s="13"/>
      <c r="I6" s="9"/>
    </row>
    <row r="7" customFormat="false" ht="29.85" hidden="false" customHeight="false" outlineLevel="0" collapsed="false">
      <c r="A7" s="8" t="s">
        <v>527</v>
      </c>
      <c r="B7" s="8" t="s">
        <v>528</v>
      </c>
      <c r="C7" s="8" t="s">
        <v>529</v>
      </c>
      <c r="D7" s="9" t="s">
        <v>197</v>
      </c>
      <c r="E7" s="8" t="s">
        <v>530</v>
      </c>
      <c r="F7" s="26" t="s">
        <v>45</v>
      </c>
      <c r="G7" s="9" t="s">
        <v>531</v>
      </c>
      <c r="H7" s="13"/>
      <c r="I7" s="9"/>
    </row>
  </sheetData>
  <autoFilter ref="A1:I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42"/>
    <col collapsed="false" customWidth="true" hidden="false" outlineLevel="0" max="4" min="4" style="0" width="16"/>
    <col collapsed="false" customWidth="true" hidden="false" outlineLevel="0" max="5" min="5" style="0" width="40"/>
    <col collapsed="false" customWidth="true" hidden="false" outlineLevel="0" max="6" min="6" style="0" width="8"/>
    <col collapsed="false" customWidth="true" hidden="false" outlineLevel="0" max="7" min="7" style="0" width="40"/>
    <col collapsed="false" customWidth="true" hidden="false" outlineLevel="0" max="8" min="8" style="0" width="10"/>
    <col collapsed="false" customWidth="true" hidden="false" outlineLevel="0" max="9" min="9" style="0" width="30"/>
  </cols>
  <sheetData>
    <row r="1" customFormat="false" ht="21.75" hidden="false" customHeight="true" outlineLevel="0" collapsed="false">
      <c r="A1" s="23" t="s">
        <v>64</v>
      </c>
      <c r="B1" s="24" t="s">
        <v>65</v>
      </c>
      <c r="C1" s="24" t="s">
        <v>66</v>
      </c>
      <c r="D1" s="24" t="s">
        <v>67</v>
      </c>
      <c r="E1" s="24" t="s">
        <v>68</v>
      </c>
      <c r="F1" s="24" t="s">
        <v>69</v>
      </c>
      <c r="G1" s="24" t="s">
        <v>70</v>
      </c>
      <c r="H1" s="24" t="s">
        <v>71</v>
      </c>
      <c r="I1" s="24" t="s">
        <v>72</v>
      </c>
    </row>
    <row r="2" customFormat="false" ht="29.85" hidden="false" customHeight="false" outlineLevel="0" collapsed="false">
      <c r="A2" s="8" t="s">
        <v>532</v>
      </c>
      <c r="B2" s="8" t="s">
        <v>533</v>
      </c>
      <c r="C2" s="9" t="s">
        <v>534</v>
      </c>
      <c r="D2" s="9" t="s">
        <v>197</v>
      </c>
      <c r="E2" s="8" t="s">
        <v>535</v>
      </c>
      <c r="F2" s="26" t="s">
        <v>45</v>
      </c>
      <c r="G2" s="9" t="s">
        <v>536</v>
      </c>
      <c r="H2" s="13"/>
      <c r="I2" s="9"/>
    </row>
    <row r="3" customFormat="false" ht="29.85" hidden="false" customHeight="false" outlineLevel="0" collapsed="false">
      <c r="A3" s="8" t="s">
        <v>537</v>
      </c>
      <c r="B3" s="9" t="s">
        <v>538</v>
      </c>
      <c r="C3" s="8" t="s">
        <v>539</v>
      </c>
      <c r="D3" s="9" t="s">
        <v>197</v>
      </c>
      <c r="E3" s="8" t="s">
        <v>540</v>
      </c>
      <c r="F3" s="26" t="s">
        <v>45</v>
      </c>
      <c r="G3" s="9" t="s">
        <v>541</v>
      </c>
      <c r="H3" s="13"/>
      <c r="I3" s="8" t="s">
        <v>542</v>
      </c>
    </row>
    <row r="4" customFormat="false" ht="26.85" hidden="false" customHeight="false" outlineLevel="0" collapsed="false">
      <c r="A4" s="8" t="s">
        <v>543</v>
      </c>
      <c r="B4" s="9" t="s">
        <v>544</v>
      </c>
      <c r="C4" s="9" t="s">
        <v>545</v>
      </c>
      <c r="D4" s="9" t="s">
        <v>197</v>
      </c>
      <c r="E4" s="8" t="s">
        <v>546</v>
      </c>
      <c r="F4" s="25" t="s">
        <v>44</v>
      </c>
      <c r="G4" s="9" t="s">
        <v>547</v>
      </c>
      <c r="H4" s="13"/>
      <c r="I4" s="9"/>
    </row>
    <row r="5" customFormat="false" ht="29.85" hidden="false" customHeight="false" outlineLevel="0" collapsed="false">
      <c r="A5" s="8" t="s">
        <v>548</v>
      </c>
      <c r="B5" s="9" t="s">
        <v>549</v>
      </c>
      <c r="C5" s="9" t="s">
        <v>550</v>
      </c>
      <c r="D5" s="9" t="s">
        <v>197</v>
      </c>
      <c r="E5" s="9" t="s">
        <v>551</v>
      </c>
      <c r="F5" s="26" t="s">
        <v>45</v>
      </c>
      <c r="G5" s="8" t="s">
        <v>552</v>
      </c>
      <c r="H5" s="13"/>
      <c r="I5" s="9"/>
    </row>
    <row r="6" customFormat="false" ht="29.85" hidden="false" customHeight="false" outlineLevel="0" collapsed="false">
      <c r="A6" s="8" t="s">
        <v>553</v>
      </c>
      <c r="B6" s="9" t="s">
        <v>554</v>
      </c>
      <c r="C6" s="9" t="s">
        <v>555</v>
      </c>
      <c r="D6" s="9" t="s">
        <v>197</v>
      </c>
      <c r="E6" s="9" t="s">
        <v>556</v>
      </c>
      <c r="F6" s="25" t="s">
        <v>44</v>
      </c>
      <c r="G6" s="9" t="s">
        <v>557</v>
      </c>
      <c r="H6" s="13"/>
      <c r="I6" s="9"/>
    </row>
    <row r="7" customFormat="false" ht="29.85" hidden="false" customHeight="false" outlineLevel="0" collapsed="false">
      <c r="A7" s="8" t="s">
        <v>558</v>
      </c>
      <c r="B7" s="9" t="s">
        <v>559</v>
      </c>
      <c r="C7" s="9" t="s">
        <v>560</v>
      </c>
      <c r="D7" s="9" t="s">
        <v>197</v>
      </c>
      <c r="E7" s="8" t="s">
        <v>561</v>
      </c>
      <c r="F7" s="27" t="s">
        <v>43</v>
      </c>
      <c r="G7" s="9" t="s">
        <v>562</v>
      </c>
      <c r="H7" s="13"/>
      <c r="I7" s="9" t="s">
        <v>563</v>
      </c>
    </row>
  </sheetData>
  <autoFilter ref="A1:I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42"/>
    <col collapsed="false" customWidth="true" hidden="false" outlineLevel="0" max="4" min="4" style="0" width="16"/>
    <col collapsed="false" customWidth="true" hidden="false" outlineLevel="0" max="5" min="5" style="0" width="40"/>
    <col collapsed="false" customWidth="true" hidden="false" outlineLevel="0" max="6" min="6" style="0" width="8"/>
    <col collapsed="false" customWidth="true" hidden="false" outlineLevel="0" max="7" min="7" style="0" width="40"/>
    <col collapsed="false" customWidth="true" hidden="false" outlineLevel="0" max="8" min="8" style="0" width="10"/>
    <col collapsed="false" customWidth="true" hidden="false" outlineLevel="0" max="9" min="9" style="0" width="30"/>
  </cols>
  <sheetData>
    <row r="1" customFormat="false" ht="21.75" hidden="false" customHeight="true" outlineLevel="0" collapsed="false">
      <c r="A1" s="23" t="s">
        <v>64</v>
      </c>
      <c r="B1" s="24" t="s">
        <v>65</v>
      </c>
      <c r="C1" s="24" t="s">
        <v>66</v>
      </c>
      <c r="D1" s="24" t="s">
        <v>67</v>
      </c>
      <c r="E1" s="24" t="s">
        <v>68</v>
      </c>
      <c r="F1" s="24" t="s">
        <v>69</v>
      </c>
      <c r="G1" s="24" t="s">
        <v>70</v>
      </c>
      <c r="H1" s="24" t="s">
        <v>71</v>
      </c>
      <c r="I1" s="24" t="s">
        <v>72</v>
      </c>
    </row>
    <row r="2" customFormat="false" ht="41" hidden="false" customHeight="false" outlineLevel="0" collapsed="false">
      <c r="A2" s="8" t="s">
        <v>564</v>
      </c>
      <c r="B2" s="8" t="s">
        <v>565</v>
      </c>
      <c r="C2" s="8" t="s">
        <v>566</v>
      </c>
      <c r="D2" s="9" t="s">
        <v>197</v>
      </c>
      <c r="E2" s="8" t="s">
        <v>567</v>
      </c>
      <c r="F2" s="27" t="s">
        <v>43</v>
      </c>
      <c r="G2" s="8" t="s">
        <v>568</v>
      </c>
      <c r="H2" s="13"/>
      <c r="I2" s="9" t="s">
        <v>569</v>
      </c>
    </row>
    <row r="3" customFormat="false" ht="29.85" hidden="false" customHeight="false" outlineLevel="0" collapsed="false">
      <c r="A3" s="8" t="s">
        <v>570</v>
      </c>
      <c r="B3" s="8" t="s">
        <v>565</v>
      </c>
      <c r="C3" s="8" t="s">
        <v>571</v>
      </c>
      <c r="D3" s="9" t="s">
        <v>197</v>
      </c>
      <c r="E3" s="9" t="s">
        <v>572</v>
      </c>
      <c r="F3" s="27" t="s">
        <v>43</v>
      </c>
      <c r="G3" s="9" t="s">
        <v>573</v>
      </c>
      <c r="H3" s="13"/>
      <c r="I3" s="8" t="s">
        <v>574</v>
      </c>
    </row>
    <row r="4" customFormat="false" ht="35.05" hidden="false" customHeight="false" outlineLevel="0" collapsed="false">
      <c r="A4" s="8" t="s">
        <v>575</v>
      </c>
      <c r="B4" s="8" t="s">
        <v>576</v>
      </c>
      <c r="C4" s="8" t="s">
        <v>577</v>
      </c>
      <c r="D4" s="9" t="s">
        <v>197</v>
      </c>
      <c r="E4" s="8" t="s">
        <v>578</v>
      </c>
      <c r="F4" s="27" t="s">
        <v>43</v>
      </c>
      <c r="G4" s="8" t="s">
        <v>579</v>
      </c>
      <c r="H4" s="13"/>
      <c r="I4" s="9" t="s">
        <v>580</v>
      </c>
    </row>
    <row r="5" customFormat="false" ht="44" hidden="false" customHeight="false" outlineLevel="0" collapsed="false">
      <c r="A5" s="8" t="s">
        <v>581</v>
      </c>
      <c r="B5" s="8" t="s">
        <v>582</v>
      </c>
      <c r="C5" s="8" t="s">
        <v>583</v>
      </c>
      <c r="D5" s="9" t="s">
        <v>197</v>
      </c>
      <c r="E5" s="8" t="s">
        <v>584</v>
      </c>
      <c r="F5" s="27" t="s">
        <v>43</v>
      </c>
      <c r="G5" s="8" t="s">
        <v>585</v>
      </c>
      <c r="H5" s="13"/>
      <c r="I5" s="8" t="s">
        <v>586</v>
      </c>
    </row>
    <row r="6" customFormat="false" ht="23.85" hidden="false" customHeight="false" outlineLevel="0" collapsed="false">
      <c r="A6" s="8" t="s">
        <v>587</v>
      </c>
      <c r="B6" s="9" t="s">
        <v>321</v>
      </c>
      <c r="C6" s="8" t="s">
        <v>588</v>
      </c>
      <c r="D6" s="9" t="s">
        <v>197</v>
      </c>
      <c r="E6" s="8" t="s">
        <v>589</v>
      </c>
      <c r="F6" s="27" t="s">
        <v>43</v>
      </c>
      <c r="G6" s="9" t="s">
        <v>590</v>
      </c>
      <c r="H6" s="13"/>
      <c r="I6" s="9"/>
    </row>
    <row r="7" customFormat="false" ht="23.85" hidden="false" customHeight="false" outlineLevel="0" collapsed="false">
      <c r="A7" s="8" t="s">
        <v>591</v>
      </c>
      <c r="B7" s="9" t="s">
        <v>321</v>
      </c>
      <c r="C7" s="8" t="s">
        <v>592</v>
      </c>
      <c r="D7" s="9" t="s">
        <v>197</v>
      </c>
      <c r="E7" s="8" t="s">
        <v>593</v>
      </c>
      <c r="F7" s="27" t="s">
        <v>43</v>
      </c>
      <c r="G7" s="9" t="s">
        <v>594</v>
      </c>
      <c r="H7" s="13"/>
      <c r="I7" s="9"/>
    </row>
    <row r="8" customFormat="false" ht="15" hidden="false" customHeight="false" outlineLevel="0" collapsed="false">
      <c r="A8" s="8" t="s">
        <v>595</v>
      </c>
      <c r="B8" s="9" t="s">
        <v>321</v>
      </c>
      <c r="C8" s="9" t="s">
        <v>596</v>
      </c>
      <c r="D8" s="9" t="s">
        <v>197</v>
      </c>
      <c r="E8" s="9" t="s">
        <v>597</v>
      </c>
      <c r="F8" s="27" t="s">
        <v>43</v>
      </c>
      <c r="G8" s="9" t="s">
        <v>598</v>
      </c>
      <c r="H8" s="13"/>
      <c r="I8" s="9"/>
    </row>
    <row r="9" customFormat="false" ht="29.85" hidden="false" customHeight="false" outlineLevel="0" collapsed="false">
      <c r="A9" s="8" t="s">
        <v>599</v>
      </c>
      <c r="B9" s="9" t="s">
        <v>111</v>
      </c>
      <c r="C9" s="8" t="s">
        <v>600</v>
      </c>
      <c r="D9" s="9" t="s">
        <v>197</v>
      </c>
      <c r="E9" s="8" t="s">
        <v>267</v>
      </c>
      <c r="F9" s="27" t="s">
        <v>43</v>
      </c>
      <c r="G9" s="8" t="s">
        <v>601</v>
      </c>
      <c r="H9" s="13"/>
      <c r="I9" s="9"/>
    </row>
    <row r="10" customFormat="false" ht="29.85" hidden="false" customHeight="false" outlineLevel="0" collapsed="false">
      <c r="A10" s="8" t="s">
        <v>602</v>
      </c>
      <c r="B10" s="9" t="s">
        <v>111</v>
      </c>
      <c r="C10" s="8" t="s">
        <v>603</v>
      </c>
      <c r="D10" s="9" t="s">
        <v>197</v>
      </c>
      <c r="E10" s="8" t="s">
        <v>604</v>
      </c>
      <c r="F10" s="27" t="s">
        <v>43</v>
      </c>
      <c r="G10" s="8" t="s">
        <v>605</v>
      </c>
      <c r="H10" s="13"/>
      <c r="I10" s="9"/>
    </row>
    <row r="11" customFormat="false" ht="29.85" hidden="false" customHeight="false" outlineLevel="0" collapsed="false">
      <c r="A11" s="8" t="s">
        <v>606</v>
      </c>
      <c r="B11" s="8" t="s">
        <v>152</v>
      </c>
      <c r="C11" s="8" t="s">
        <v>607</v>
      </c>
      <c r="D11" s="9" t="s">
        <v>197</v>
      </c>
      <c r="E11" s="8" t="s">
        <v>608</v>
      </c>
      <c r="F11" s="27" t="s">
        <v>43</v>
      </c>
      <c r="G11" s="8" t="s">
        <v>609</v>
      </c>
      <c r="H11" s="13"/>
      <c r="I11" s="9"/>
    </row>
    <row r="12" customFormat="false" ht="29.85" hidden="false" customHeight="false" outlineLevel="0" collapsed="false">
      <c r="A12" s="8" t="s">
        <v>610</v>
      </c>
      <c r="B12" s="9" t="s">
        <v>611</v>
      </c>
      <c r="C12" s="8" t="s">
        <v>612</v>
      </c>
      <c r="D12" s="9" t="s">
        <v>197</v>
      </c>
      <c r="E12" s="9" t="s">
        <v>613</v>
      </c>
      <c r="F12" s="25" t="s">
        <v>44</v>
      </c>
      <c r="G12" s="9" t="s">
        <v>614</v>
      </c>
      <c r="H12" s="13"/>
      <c r="I12" s="9" t="s">
        <v>615</v>
      </c>
    </row>
    <row r="13" customFormat="false" ht="26.85" hidden="false" customHeight="false" outlineLevel="0" collapsed="false">
      <c r="A13" s="8" t="s">
        <v>616</v>
      </c>
      <c r="B13" s="9" t="s">
        <v>121</v>
      </c>
      <c r="C13" s="8" t="s">
        <v>617</v>
      </c>
      <c r="D13" s="9" t="s">
        <v>76</v>
      </c>
      <c r="E13" s="8" t="s">
        <v>618</v>
      </c>
      <c r="F13" s="27" t="s">
        <v>43</v>
      </c>
      <c r="G13" s="8" t="s">
        <v>619</v>
      </c>
      <c r="H13" s="13"/>
      <c r="I13" s="9"/>
    </row>
    <row r="14" customFormat="false" ht="44" hidden="false" customHeight="false" outlineLevel="0" collapsed="false">
      <c r="A14" s="8" t="s">
        <v>620</v>
      </c>
      <c r="B14" s="9" t="s">
        <v>621</v>
      </c>
      <c r="C14" s="8" t="s">
        <v>622</v>
      </c>
      <c r="D14" s="9" t="s">
        <v>197</v>
      </c>
      <c r="E14" s="8" t="s">
        <v>623</v>
      </c>
      <c r="F14" s="27" t="s">
        <v>43</v>
      </c>
      <c r="G14" s="9" t="s">
        <v>624</v>
      </c>
      <c r="H14" s="13"/>
      <c r="I14" s="8" t="s">
        <v>625</v>
      </c>
    </row>
    <row r="15" customFormat="false" ht="44" hidden="false" customHeight="false" outlineLevel="0" collapsed="false">
      <c r="A15" s="8" t="s">
        <v>626</v>
      </c>
      <c r="B15" s="9" t="s">
        <v>627</v>
      </c>
      <c r="C15" s="8" t="s">
        <v>628</v>
      </c>
      <c r="D15" s="9" t="s">
        <v>197</v>
      </c>
      <c r="E15" s="8" t="s">
        <v>629</v>
      </c>
      <c r="F15" s="25" t="s">
        <v>44</v>
      </c>
      <c r="G15" s="9" t="s">
        <v>630</v>
      </c>
      <c r="H15" s="13"/>
      <c r="I15" s="9" t="s">
        <v>631</v>
      </c>
    </row>
  </sheetData>
  <autoFilter ref="A1:I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2026-08-11T11:06:54Z</dcterms:created>
  <dc:creator>openpyxl</dc:creator>
  <dc:description/>
  <dc:language>en-US</dc:language>
  <cp:lastModifiedBy/>
  <dcterms:modified xsi:type="dcterms:W3CDTF">2026-08-11T11:06:55Z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