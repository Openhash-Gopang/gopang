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 안내" sheetId="1" state="visible" r:id="rId3"/>
    <sheet name="기준표(천안시)" sheetId="2" state="visible" r:id="rId4"/>
    <sheet name="법원 인지대·송달료" sheetId="3" state="visible" r:id="rId5"/>
    <sheet name="국세(인지세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<sst xmlns="http://schemas.openxmlformats.org/spreadsheetml/2006/main" count="3152" uniqueCount="1213">
  <si>
    <t xml:space="preserve">혼디 정부 수수료 기준표 — 사용 안내</t>
  </si>
  <si>
    <t xml:space="preserve">작성일: 2026-08-15</t>
  </si>
  <si>
    <t xml:space="preserve">출처(1차): 천안시 민원사무편람 (사용자 제공 파일, 천안시청 홈페이지 게시 자료)</t>
  </si>
  <si>
    <t xml:space="preserve">① 이 표는 "기준점(reference point)"일 뿐입니다.</t>
  </si>
  <si>
    <t xml:space="preserve">    정부에 납부하는 수수료·인지대·면허세 등은 지자체 조례, 소관 부처 고시, 관련 법령 개정에 따라</t>
  </si>
  <si>
    <t xml:space="preserve">    지역별로, 그리고 시기별로 달라질 수 있습니다. 이 표의 금액을 실제 청구 금액으로 그대로 사용해서는 안 됩니다.</t>
  </si>
  <si>
    <t xml:space="preserve">② 모든 지역은 이 표를 "참조"하여 자체 테이블을 구성해야 합니다.</t>
  </si>
  <si>
    <t xml:space="preserve">    예) 제주도의 홍길동과 부산광역시의 임꺽정이 동일한 명칭의 "법인 지방세액"을 납부하더라도,</t>
  </si>
  <si>
    <t xml:space="preserve">        관할 지자체 조례에 따라 실제 금액은 다를 수 있습니다.</t>
  </si>
  <si>
    <t xml:space="preserve">    천안시 자신도 예외가 아닙니다 — 이 표는 특정 시점에 수집된 스냅샷이므로, 천안시 조례가 개정되면</t>
  </si>
  <si>
    <t xml:space="preserve">    천안시 역시 이 표를 그대로 신뢰하지 말고 최신 조례를 다시 확인해야 합니다.</t>
  </si>
  <si>
    <r>
      <rPr>
        <b val="true"/>
        <sz val="11"/>
        <rFont val="Arial"/>
        <family val="0"/>
        <charset val="1"/>
      </rPr>
      <t xml:space="preserve">③ "</t>
    </r>
    <r>
      <rPr>
        <b val="true"/>
        <sz val="11"/>
        <rFont val="Noto Sans CJK SC"/>
        <family val="2"/>
      </rPr>
      <t xml:space="preserve">기준표</t>
    </r>
    <r>
      <rPr>
        <b val="true"/>
        <sz val="11"/>
        <rFont val="Arial"/>
        <family val="0"/>
        <charset val="1"/>
      </rPr>
      <t xml:space="preserve">" </t>
    </r>
    <r>
      <rPr>
        <b val="true"/>
        <sz val="11"/>
        <rFont val="Noto Sans CJK SC"/>
        <family val="2"/>
      </rPr>
      <t xml:space="preserve">시트의 색상 표시 의미</t>
    </r>
  </si>
  <si>
    <r>
      <rPr>
        <sz val="10"/>
        <rFont val="Arial"/>
        <family val="0"/>
        <charset val="1"/>
      </rPr>
      <t xml:space="preserve">    - </t>
    </r>
    <r>
      <rPr>
        <sz val="10"/>
        <rFont val="Noto Sans CJK SC"/>
        <family val="2"/>
      </rPr>
      <t xml:space="preserve">초록 배경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수수료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명시된 항목</t>
    </r>
  </si>
  <si>
    <r>
      <rPr>
        <sz val="10"/>
        <rFont val="Arial"/>
        <family val="0"/>
        <charset val="1"/>
      </rPr>
      <t xml:space="preserve">    - </t>
    </r>
    <r>
      <rPr>
        <sz val="10"/>
        <rFont val="Noto Sans CJK SC"/>
        <family val="2"/>
      </rPr>
      <t xml:space="preserve">노랑 배경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금액이 원문에 숫자로 명시된 항목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최소금액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최대금액 열 참고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</si>
  <si>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  - </t>
    </r>
    <r>
      <rPr>
        <sz val="10"/>
        <rFont val="Noto Sans CJK SC"/>
        <family val="2"/>
      </rPr>
      <t xml:space="preserve">분홍 배경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금액이 조례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별표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시행규칙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로만 되어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숫자를 확인하려면</t>
    </r>
  </si>
  <si>
    <t xml:space="preserve">      해당 법규(관련법규 열)를 별도로 찾아봐야 하는 항목</t>
  </si>
  <si>
    <r>
      <rPr>
        <sz val="10"/>
        <rFont val="Arial"/>
        <family val="0"/>
        <charset val="1"/>
      </rPr>
      <t xml:space="preserve">    - </t>
    </r>
    <r>
      <rPr>
        <sz val="10"/>
        <rFont val="Noto Sans CJK SC"/>
        <family val="2"/>
      </rPr>
      <t xml:space="preserve">색 없음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원본 편람에 수수료 정보 자체가 기재되지 않은 항목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비과세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정보 없음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서식류 등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</si>
  <si>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④ "</t>
    </r>
    <r>
      <rPr>
        <b val="true"/>
        <sz val="11"/>
        <rFont val="Noto Sans CJK SC"/>
        <family val="2"/>
      </rPr>
      <t xml:space="preserve">법원 인지대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송달료</t>
    </r>
    <r>
      <rPr>
        <b val="true"/>
        <sz val="11"/>
        <rFont val="Arial"/>
        <family val="0"/>
        <charset val="1"/>
      </rPr>
      <t xml:space="preserve">" </t>
    </r>
    <r>
      <rPr>
        <b val="true"/>
        <sz val="11"/>
        <rFont val="Noto Sans CJK SC"/>
        <family val="2"/>
      </rPr>
      <t xml:space="preserve">시트는 천안시 편람과 무관하게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「민사소송 등 인지법」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인지규칙에 따른</t>
    </r>
  </si>
  <si>
    <t xml:space="preserve">    전국 공통 계산 공식입니다. 소가(청구금액)를 입력하면 자동으로 인지액이 계산됩니다.</t>
  </si>
  <si>
    <t xml:space="preserve">    다만 이 역시 법령 개정 시 요율이 바뀔 수 있으므로, 실제 소송 접수 전에는</t>
  </si>
  <si>
    <t xml:space="preserve">    대한민국 법원 전자소송(https://pro-se.scourt.go.kr) 자동계산 결과와 반드시 대조하십시오.</t>
  </si>
  <si>
    <t xml:space="preserve">⑤ 향후 보완 계획</t>
  </si>
  <si>
    <t xml:space="preserve">    이 표는 천안시 데이터로 만든 "초안"입니다. 다른 지역(제주 등) 민원사무편람, 국세청 국세 수수료,</t>
  </si>
  <si>
    <t xml:space="preserve">    법원 인지대 등을 추가로 반영하여 테이블을 계속 보완해 나갈 예정입니다.</t>
  </si>
  <si>
    <t xml:space="preserve">민원사무명</t>
  </si>
  <si>
    <r>
      <rPr>
        <b val="true"/>
        <sz val="10"/>
        <color rgb="FFFFFFFF"/>
        <rFont val="Noto Sans CJK SC"/>
        <family val="2"/>
      </rPr>
      <t xml:space="preserve">처리부서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원본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천안시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</si>
  <si>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수수료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원문</t>
    </r>
  </si>
  <si>
    <r>
      <rPr>
        <b val="true"/>
        <sz val="10"/>
        <color rgb="FFFFFFFF"/>
        <rFont val="Noto Sans CJK SC"/>
        <family val="2"/>
      </rPr>
      <t xml:space="preserve">최소금액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</si>
  <si>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최대금액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</si>
  <si>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분류</t>
  </si>
  <si>
    <t xml:space="preserve">처리일수</t>
  </si>
  <si>
    <r>
      <rPr>
        <b val="true"/>
        <sz val="10"/>
        <color rgb="FFFFFFFF"/>
        <rFont val="Noto Sans CJK SC"/>
        <family val="2"/>
      </rPr>
      <t xml:space="preserve">관련법규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발췌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</si>
  <si>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기계설비공사 사용 전 검사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신청서</t>
    </r>
  </si>
  <si>
    <t xml:space="preserve">시청 건축과</t>
  </si>
  <si>
    <t xml:space="preserve">수수료 없음</t>
  </si>
  <si>
    <t xml:space="preserve">무료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</si>
  <si>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기계설비공사 착공 전 확인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신청서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</si>
  <si>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고압가스 제조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사업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저장소 사용 개시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 신고</t>
    </r>
  </si>
  <si>
    <r>
      <rPr>
        <sz val="10"/>
        <rFont val="Noto Sans CJK SC"/>
        <family val="2"/>
      </rPr>
      <t xml:space="preserve">동남구청 산업교통과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산업교통과</t>
    </r>
  </si>
  <si>
    <t xml:space="preserve">정보없음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</si>
  <si>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공동처리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음식물류 폐기물 발생 억제 및 처리계획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</si>
  <si>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동남구청 환경위생과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환경위생과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</si>
  <si>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지방세 세무조사 서면신고서 등</t>
    </r>
  </si>
  <si>
    <t xml:space="preserve">시청 세정과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</si>
  <si>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영업허가증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영업신고증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집단급식소 설치 ㆍ 운영신고증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재발급</t>
    </r>
  </si>
  <si>
    <t xml:space="preserve">동남구청 환경위생과</t>
  </si>
  <si>
    <r>
      <rPr>
        <sz val="10"/>
        <rFont val="Arial"/>
        <family val="0"/>
        <charset val="1"/>
      </rPr>
      <t xml:space="preserve">5,300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온라인 신청 시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</si>
  <si>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금액명시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</si>
  <si>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영업허가증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영업신고증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집단급식소 설치 ？ 운영신고증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재발급</t>
    </r>
  </si>
  <si>
    <t xml:space="preserve">서북구청 환경위생과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</si>
  <si>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냉동기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특정설비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제조 등록증명서  재발급 신청서</t>
    </r>
  </si>
  <si>
    <t xml:space="preserve">시청 기후에너지과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</si>
  <si>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</si>
  <si>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냉동기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특정설비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제조등록신청서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</si>
  <si>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</si>
  <si>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냉동기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특정설비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제조 변경등록신청서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</si>
  <si>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사용승인신청</t>
    </r>
  </si>
  <si>
    <t xml:space="preserve">없음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</si>
  <si>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자가처리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음식물류 폐기물 발생 억제 및 처리계획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</si>
  <si>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자기관리형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위탁관리형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주택임대관리업 등록 신청</t>
    </r>
  </si>
  <si>
    <t xml:space="preserve">시청 공동주택과</t>
  </si>
  <si>
    <t xml:space="preserve">가설건축물 존치기간 연장신고</t>
  </si>
  <si>
    <r>
      <rPr>
        <sz val="10"/>
        <rFont val="Arial"/>
        <family val="0"/>
        <charset val="1"/>
      </rPr>
      <t xml:space="preserve">9,000~50,000</t>
    </r>
    <r>
      <rPr>
        <sz val="10"/>
        <rFont val="Noto Sans CJK SC"/>
        <family val="2"/>
      </rPr>
      <t xml:space="preserve">원</t>
    </r>
  </si>
  <si>
    <t xml:space="preserve">가설건축물 존치기간 연장신고서</t>
  </si>
  <si>
    <t xml:space="preserve">서북구청 건축과</t>
  </si>
  <si>
    <r>
      <rPr>
        <sz val="10"/>
        <rFont val="Noto Sans CJK SC"/>
        <family val="2"/>
      </rPr>
      <t xml:space="preserve">천안시 건축조례 별표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참조</t>
    </r>
  </si>
  <si>
    <t xml:space="preserve">가설건축물 축조신고</t>
  </si>
  <si>
    <r>
      <rPr>
        <sz val="10"/>
        <rFont val="Noto Sans CJK SC"/>
        <family val="2"/>
      </rPr>
      <t xml:space="preserve">동남구청 건축과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건축과</t>
    </r>
  </si>
  <si>
    <r>
      <rPr>
        <sz val="10"/>
        <rFont val="Noto Sans CJK SC"/>
        <family val="2"/>
      </rPr>
      <t xml:space="preserve">「천안시 건축 조례」 제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조 및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별표 </t>
    </r>
    <r>
      <rPr>
        <sz val="10"/>
        <rFont val="Arial"/>
        <family val="0"/>
        <charset val="1"/>
      </rPr>
      <t xml:space="preserve">1] </t>
    </r>
    <r>
      <rPr>
        <sz val="10"/>
        <rFont val="Noto Sans CJK SC"/>
        <family val="2"/>
      </rPr>
      <t xml:space="preserve">참조</t>
    </r>
  </si>
  <si>
    <t xml:space="preserve">가설건축물존치기간연장신고</t>
  </si>
  <si>
    <t xml:space="preserve">동남구청 건축과</t>
  </si>
  <si>
    <r>
      <rPr>
        <sz val="10"/>
        <rFont val="Noto Sans CJK SC"/>
        <family val="2"/>
      </rPr>
      <t xml:space="preserve">가스용품 제조사업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</si>
  <si>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</si>
  <si>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t xml:space="preserve">가스용품 제조사업 변경 신고서</t>
  </si>
  <si>
    <t xml:space="preserve">가정폭력피해상담소 변경신고</t>
  </si>
  <si>
    <t xml:space="preserve">시청 여성가족과</t>
  </si>
  <si>
    <t xml:space="preserve">가족관계등록부 등의 증명서 교부 신청</t>
  </si>
  <si>
    <r>
      <rPr>
        <sz val="10"/>
        <rFont val="Noto Sans CJK SC"/>
        <family val="2"/>
      </rPr>
      <t xml:space="preserve">동남구청 민원지적과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민원지적과</t>
    </r>
  </si>
  <si>
    <t xml:space="preserve">가족관계등록법규상 등록사항별 증명서 등의 수수료</t>
  </si>
  <si>
    <t xml:space="preserve">가족관계등록부등의 증명서 교부등 신청서 및 위임장 교체</t>
  </si>
  <si>
    <t xml:space="preserve">동남구청 민원지적과</t>
  </si>
  <si>
    <t xml:space="preserve">가축분뇨 재활용 신고</t>
  </si>
  <si>
    <t xml:space="preserve">시청 환경정책과</t>
  </si>
  <si>
    <r>
      <rPr>
        <sz val="10"/>
        <rFont val="Noto Sans CJK SC"/>
        <family val="2"/>
      </rPr>
      <t xml:space="preserve">가축분뇨관련영업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허가신청서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변경허가신청서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</si>
  <si>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허가</t>
    </r>
    <r>
      <rPr>
        <sz val="10"/>
        <rFont val="Arial"/>
        <family val="0"/>
        <charset val="1"/>
      </rPr>
      <t xml:space="preserve">: 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: 15,000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</si>
  <si>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가축분뇨관련영업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처리시설설계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시공업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재개업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</si>
  <si>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가축분뇨배출시설 설치허가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</si>
  <si>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허가신청 </t>
    </r>
    <r>
      <rPr>
        <sz val="10"/>
        <rFont val="Arial"/>
        <family val="0"/>
        <charset val="1"/>
      </rPr>
      <t xml:space="preserve">: 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없음</t>
    </r>
  </si>
  <si>
    <r>
      <rPr>
        <sz val="10"/>
        <rFont val="Noto Sans CJK SC"/>
        <family val="2"/>
      </rPr>
      <t xml:space="preserve">가축분뇨배출시설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설치신고서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</si>
  <si>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가축분뇨배출시설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설치허가신청서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변경허가신청서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</si>
  <si>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설치허가</t>
    </r>
    <r>
      <rPr>
        <sz val="10"/>
        <rFont val="Arial"/>
        <family val="0"/>
        <charset val="1"/>
      </rPr>
      <t xml:space="preserve">: 10,000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: 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없음</t>
    </r>
  </si>
  <si>
    <t xml:space="preserve">가축사육업 등록</t>
  </si>
  <si>
    <t xml:space="preserve">시청 축산과</t>
  </si>
  <si>
    <r>
      <rPr>
        <sz val="10"/>
        <rFont val="Noto Sans CJK SC"/>
        <family val="2"/>
      </rPr>
      <t xml:space="preserve">가축사육업 허가 및 변경허가 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변경허가</t>
    </r>
  </si>
  <si>
    <r>
      <rPr>
        <sz val="10"/>
        <rFont val="Noto Sans CJK SC"/>
        <family val="2"/>
      </rPr>
      <t xml:space="preserve">가축사육업 허가 및 변경허가 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허가</t>
    </r>
  </si>
  <si>
    <r>
      <rPr>
        <sz val="10"/>
        <rFont val="Noto Sans CJK SC"/>
        <family val="2"/>
      </rPr>
      <t xml:space="preserve">가축사육업 휴업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영업재개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재개업 신고</t>
    </r>
  </si>
  <si>
    <t xml:space="preserve">가축인공수정소 개설신고</t>
  </si>
  <si>
    <t xml:space="preserve">개발부담금 고지전심사청구</t>
  </si>
  <si>
    <t xml:space="preserve">시청 토지정보과</t>
  </si>
  <si>
    <t xml:space="preserve">개발부담금 납부기일 연기신청</t>
  </si>
  <si>
    <t xml:space="preserve">개발부담금 분할납부신청</t>
  </si>
  <si>
    <t xml:space="preserve">개발비용 산출내역서</t>
  </si>
  <si>
    <t xml:space="preserve">개발행위준공검사 신청</t>
  </si>
  <si>
    <t xml:space="preserve">시청 허가과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</si>
  <si>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수수료 없음</t>
    </r>
  </si>
  <si>
    <r>
      <rPr>
        <sz val="10"/>
        <rFont val="Noto Sans CJK SC"/>
        <family val="2"/>
      </rPr>
      <t xml:space="preserve">개발행위허가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토지형질변경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토석채취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공작물설치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물건적치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토지분할</t>
    </r>
    <r>
      <rPr>
        <sz val="10"/>
        <rFont val="Arial"/>
        <family val="0"/>
        <charset val="1"/>
      </rPr>
      <t xml:space="preserve">)</t>
    </r>
  </si>
  <si>
    <t xml:space="preserve">개별공시지가 확인</t>
  </si>
  <si>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원</t>
    </r>
  </si>
  <si>
    <t xml:space="preserve">개인택시운송사업 대리운전 신고</t>
  </si>
  <si>
    <t xml:space="preserve">시청 대중교통과</t>
  </si>
  <si>
    <r>
      <rPr>
        <sz val="10"/>
        <rFont val="Noto Sans CJK SC"/>
        <family val="2"/>
      </rPr>
      <t xml:space="preserve">개인택시운송사업 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양수인가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</si>
  <si>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3,000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</si>
  <si>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개인하수처리시설 제조업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변경등록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</si>
  <si>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: 23,000</t>
    </r>
    <r>
      <rPr>
        <sz val="10"/>
        <rFont val="Noto Sans CJK SC"/>
        <family val="2"/>
      </rPr>
      <t xml:space="preserve">원                  변경 </t>
    </r>
    <r>
      <rPr>
        <sz val="10"/>
        <rFont val="Arial"/>
        <family val="0"/>
        <charset val="1"/>
      </rPr>
      <t xml:space="preserve">: 15,000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</si>
  <si>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개인하수처리시설관리업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</si>
  <si>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: 23,000</t>
    </r>
    <r>
      <rPr>
        <sz val="10"/>
        <rFont val="Noto Sans CJK SC"/>
        <family val="2"/>
      </rPr>
      <t xml:space="preserve">원         변경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없음</t>
    </r>
  </si>
  <si>
    <r>
      <rPr>
        <sz val="10"/>
        <rFont val="Noto Sans CJK SC"/>
        <family val="2"/>
      </rPr>
      <t xml:space="preserve">개인하수처리시설설계 시공업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</si>
  <si>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: 23,000</t>
    </r>
    <r>
      <rPr>
        <sz val="10"/>
        <rFont val="Noto Sans CJK SC"/>
        <family val="2"/>
      </rPr>
      <t xml:space="preserve">원                변경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없음</t>
    </r>
  </si>
  <si>
    <t xml:space="preserve">개장신고</t>
  </si>
  <si>
    <t xml:space="preserve">읍면동 공통</t>
  </si>
  <si>
    <t xml:space="preserve">거래가격신고</t>
  </si>
  <si>
    <t xml:space="preserve">건강검진 등 신고</t>
  </si>
  <si>
    <r>
      <rPr>
        <sz val="10"/>
        <rFont val="Noto Sans CJK SC"/>
        <family val="2"/>
      </rPr>
      <t xml:space="preserve">동남구보건소 공통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서북구보건소 보건정책과</t>
    </r>
  </si>
  <si>
    <t xml:space="preserve">건강기능식품영업 폐업신고</t>
  </si>
  <si>
    <t xml:space="preserve">시청 식품안전과</t>
  </si>
  <si>
    <t xml:space="preserve">건강기능식품영업신고</t>
  </si>
  <si>
    <r>
      <rPr>
        <sz val="10"/>
        <rFont val="Arial"/>
        <family val="0"/>
        <charset val="1"/>
      </rPr>
      <t xml:space="preserve">28,000</t>
    </r>
    <r>
      <rPr>
        <sz val="10"/>
        <rFont val="Noto Sans CJK SC"/>
        <family val="2"/>
      </rPr>
      <t xml:space="preserve">원</t>
    </r>
  </si>
  <si>
    <t xml:space="preserve">건강기능식품영업신고사항변경신고</t>
  </si>
  <si>
    <r>
      <rPr>
        <sz val="10"/>
        <rFont val="Arial"/>
        <family val="0"/>
        <charset val="1"/>
      </rPr>
      <t xml:space="preserve">1)</t>
    </r>
    <r>
      <rPr>
        <sz val="10"/>
        <rFont val="Noto Sans CJK SC"/>
        <family val="2"/>
      </rPr>
      <t xml:space="preserve">대표자성명변경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, 2) </t>
    </r>
    <r>
      <rPr>
        <sz val="10"/>
        <rFont val="Noto Sans CJK SC"/>
        <family val="2"/>
      </rPr>
      <t xml:space="preserve">소재지외 또는 방문판매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통신판매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전화권유판매등 소재지변경 </t>
    </r>
    <r>
      <rPr>
        <sz val="10"/>
        <rFont val="Arial"/>
        <family val="0"/>
        <charset val="1"/>
      </rPr>
      <t xml:space="preserve">: 9,300, 3)</t>
    </r>
    <r>
      <rPr>
        <sz val="10"/>
        <rFont val="Noto Sans CJK SC"/>
        <family val="2"/>
      </rPr>
      <t xml:space="preserve">소재지변경 </t>
    </r>
    <r>
      <rPr>
        <sz val="10"/>
        <rFont val="Arial"/>
        <family val="0"/>
        <charset val="1"/>
      </rPr>
      <t xml:space="preserve">: 26,500</t>
    </r>
  </si>
  <si>
    <t xml:space="preserve">건강기능식품영업자승계신고</t>
  </si>
  <si>
    <r>
      <rPr>
        <sz val="10"/>
        <rFont val="Arial"/>
        <family val="0"/>
        <charset val="1"/>
      </rPr>
      <t xml:space="preserve">9,300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</si>
  <si>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건강진단결과서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구 보건증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대리수령 위임장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단체</t>
    </r>
  </si>
  <si>
    <t xml:space="preserve">서북구보건소 보건정책과</t>
  </si>
  <si>
    <r>
      <rPr>
        <sz val="10"/>
        <rFont val="Noto Sans CJK SC"/>
        <family val="2"/>
      </rPr>
      <t xml:space="preserve">건강진단결과서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구 보건증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</si>
  <si>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건강진단서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</si>
  <si>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건물번호 부여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</si>
  <si>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로급 </t>
    </r>
    <r>
      <rPr>
        <sz val="10"/>
        <rFont val="Arial"/>
        <family val="0"/>
        <charset val="1"/>
      </rPr>
      <t xml:space="preserve">15,000</t>
    </r>
    <r>
      <rPr>
        <sz val="10"/>
        <rFont val="Noto Sans CJK SC"/>
        <family val="2"/>
      </rPr>
      <t xml:space="preserve">원 길급 </t>
    </r>
    <r>
      <rPr>
        <sz val="10"/>
        <rFont val="Arial"/>
        <family val="0"/>
        <charset val="1"/>
      </rPr>
      <t xml:space="preserve">6,600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</si>
  <si>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건설기계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 재발급</t>
    </r>
  </si>
  <si>
    <t xml:space="preserve">차량등록사업소 공통</t>
  </si>
  <si>
    <r>
      <rPr>
        <sz val="10"/>
        <rFont val="Noto Sans CJK SC"/>
        <family val="2"/>
      </rPr>
      <t xml:space="preserve">발급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</t>
    </r>
  </si>
  <si>
    <t xml:space="preserve">건설기계 등록말소신청</t>
  </si>
  <si>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</si>
  <si>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건설기계 등록사항변경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등록이전 신고</t>
    </r>
  </si>
  <si>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: 1,000</t>
    </r>
    <r>
      <rPr>
        <sz val="10"/>
        <rFont val="Noto Sans CJK SC"/>
        <family val="2"/>
      </rPr>
      <t xml:space="preserve">원</t>
    </r>
  </si>
  <si>
    <t xml:space="preserve">건설기계 수출이행여부 신고</t>
  </si>
  <si>
    <r>
      <rPr>
        <sz val="10"/>
        <rFont val="Noto Sans CJK SC"/>
        <family val="2"/>
      </rPr>
      <t xml:space="preserve">건설기계 양도증명서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당사자 거래용</t>
    </r>
    <r>
      <rPr>
        <sz val="10"/>
        <rFont val="Arial"/>
        <family val="0"/>
        <charset val="1"/>
      </rPr>
      <t xml:space="preserve">)</t>
    </r>
  </si>
  <si>
    <t xml:space="preserve">건설기계대여업 등록신청</t>
  </si>
  <si>
    <t xml:space="preserve">시청 교통정책과</t>
  </si>
  <si>
    <r>
      <rPr>
        <sz val="10"/>
        <rFont val="Arial"/>
        <family val="0"/>
        <charset val="1"/>
      </rPr>
      <t xml:space="preserve">30,000</t>
    </r>
    <r>
      <rPr>
        <sz val="10"/>
        <rFont val="Noto Sans CJK SC"/>
        <family val="2"/>
      </rPr>
      <t xml:space="preserve">원</t>
    </r>
  </si>
  <si>
    <t xml:space="preserve">건설기계등록</t>
  </si>
  <si>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: 4,000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</si>
  <si>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건설기계등록번호표 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재부착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재봉인 신청</t>
    </r>
  </si>
  <si>
    <r>
      <rPr>
        <sz val="10"/>
        <rFont val="Noto Sans CJK SC"/>
        <family val="2"/>
      </rPr>
      <t xml:space="preserve">건설기계등록원부 등초본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</si>
  <si>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전자민원 창구로 신청 시 무료</t>
    </r>
    <r>
      <rPr>
        <sz val="10"/>
        <rFont val="Arial"/>
        <family val="0"/>
        <charset val="1"/>
      </rPr>
      <t xml:space="preserve">)</t>
    </r>
  </si>
  <si>
    <t xml:space="preserve">건설기계매매업 등록신청</t>
  </si>
  <si>
    <r>
      <rPr>
        <sz val="10"/>
        <rFont val="Noto Sans CJK SC"/>
        <family val="2"/>
      </rPr>
      <t xml:space="preserve">건설기계사업 양도ㆍ양수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합병 신고</t>
    </r>
  </si>
  <si>
    <r>
      <rPr>
        <sz val="10"/>
        <rFont val="Noto Sans CJK SC"/>
        <family val="2"/>
      </rPr>
      <t xml:space="preserve">건설기계사업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</si>
  <si>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당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사업폐업 신고는 수수료 없음</t>
    </r>
    <r>
      <rPr>
        <sz val="10"/>
        <rFont val="Arial"/>
        <family val="0"/>
        <charset val="1"/>
      </rPr>
      <t xml:space="preserve">)</t>
    </r>
  </si>
  <si>
    <t xml:space="preserve">건설기계사업자 등록증 재교부 신청</t>
  </si>
  <si>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</t>
    </r>
  </si>
  <si>
    <t xml:space="preserve">건설기계사업자 변경신고</t>
  </si>
  <si>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</t>
    </r>
  </si>
  <si>
    <t xml:space="preserve">건설기계정비업 등록신청</t>
  </si>
  <si>
    <r>
      <rPr>
        <sz val="10"/>
        <rFont val="Noto Sans CJK SC"/>
        <family val="2"/>
      </rPr>
      <t xml:space="preserve">건설기계조종사면허 정기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적성검사 신청</t>
    </r>
  </si>
  <si>
    <r>
      <rPr>
        <sz val="10"/>
        <rFont val="Noto Sans CJK SC"/>
        <family val="2"/>
      </rPr>
      <t xml:space="preserve">발급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: 2,500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</si>
  <si>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건설기계조종사면허증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</si>
  <si>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면허당 </t>
    </r>
    <r>
      <rPr>
        <sz val="10"/>
        <rFont val="Arial"/>
        <family val="0"/>
        <charset val="1"/>
      </rPr>
      <t xml:space="preserve">: 2,500</t>
    </r>
    <r>
      <rPr>
        <sz val="10"/>
        <rFont val="Noto Sans CJK SC"/>
        <family val="2"/>
      </rPr>
      <t xml:space="preserve">원</t>
    </r>
  </si>
  <si>
    <t xml:space="preserve">건설기계조종사면허증 취소 신청</t>
  </si>
  <si>
    <t xml:space="preserve">건설업 등록</t>
  </si>
  <si>
    <t xml:space="preserve">시청 건설도로과</t>
  </si>
  <si>
    <r>
      <rPr>
        <sz val="10"/>
        <rFont val="Noto Sans CJK SC"/>
        <family val="2"/>
      </rPr>
      <t xml:space="preserve">전문공사업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  가스시설시공업제</t>
    </r>
    <r>
      <rPr>
        <sz val="10"/>
        <rFont val="Arial"/>
        <family val="0"/>
        <charset val="1"/>
      </rPr>
      <t xml:space="preserve">2,3</t>
    </r>
    <r>
      <rPr>
        <sz val="10"/>
        <rFont val="Noto Sans CJK SC"/>
        <family val="2"/>
      </rPr>
      <t xml:space="preserve">종 및 난방시공업 제</t>
    </r>
    <r>
      <rPr>
        <sz val="10"/>
        <rFont val="Arial"/>
        <family val="0"/>
        <charset val="1"/>
      </rPr>
      <t xml:space="preserve">2,3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</si>
  <si>
    <t xml:space="preserve">건설업 폐업신고</t>
  </si>
  <si>
    <r>
      <rPr>
        <sz val="10"/>
        <rFont val="Noto Sans CJK SC"/>
        <family val="2"/>
      </rPr>
      <t xml:space="preserve">건설업등록증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등록수첩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재발급신청</t>
    </r>
  </si>
  <si>
    <t xml:space="preserve">2,000</t>
  </si>
  <si>
    <r>
      <rPr>
        <sz val="10"/>
        <rFont val="Noto Sans CJK SC"/>
        <family val="2"/>
      </rPr>
      <t xml:space="preserve">건설업등록증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건설업등록수첩의 기재사항 변경신청</t>
    </r>
  </si>
  <si>
    <r>
      <rPr>
        <sz val="10"/>
        <rFont val="Noto Sans CJK SC"/>
        <family val="2"/>
      </rPr>
      <t xml:space="preserve">건설폐기물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처리사업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처리업 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계획서</t>
    </r>
  </si>
  <si>
    <t xml:space="preserve">시청 청소행정과</t>
  </si>
  <si>
    <r>
      <rPr>
        <sz val="10"/>
        <rFont val="Noto Sans CJK SC"/>
        <family val="2"/>
      </rPr>
      <t xml:space="preserve">건설폐기물 처리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계획서 제출</t>
    </r>
  </si>
  <si>
    <t xml:space="preserve">건설폐기물 처리시설 사용개시 신고</t>
  </si>
  <si>
    <r>
      <rPr>
        <sz val="10"/>
        <rFont val="Noto Sans CJK SC"/>
        <family val="2"/>
      </rPr>
      <t xml:space="preserve">건설폐기물 처리시설 설치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변경승인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</si>
  <si>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건설폐기물 처리시설 설치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)</t>
    </r>
  </si>
  <si>
    <t xml:space="preserve">건설폐기물 처리업 변경신고</t>
  </si>
  <si>
    <r>
      <rPr>
        <sz val="10"/>
        <rFont val="Noto Sans CJK SC"/>
        <family val="2"/>
      </rPr>
      <t xml:space="preserve">건설폐기물 처리업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처리시설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권리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의무승계신고서</t>
    </r>
  </si>
  <si>
    <r>
      <rPr>
        <sz val="10"/>
        <rFont val="Noto Sans CJK SC"/>
        <family val="2"/>
      </rPr>
      <t xml:space="preserve">건설폐기물 처리업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</si>
  <si>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)40,000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)15,000</t>
    </r>
    <r>
      <rPr>
        <sz val="10"/>
        <rFont val="Noto Sans CJK SC"/>
        <family val="2"/>
      </rPr>
      <t xml:space="preserve">원</t>
    </r>
  </si>
  <si>
    <t xml:space="preserve">건축관계자 변경 신고</t>
  </si>
  <si>
    <t xml:space="preserve">건축관계자변경신고</t>
  </si>
  <si>
    <t xml:space="preserve">건축물 석면조사 결과 보고서</t>
  </si>
  <si>
    <r>
      <rPr>
        <sz val="10"/>
        <rFont val="Noto Sans CJK SC"/>
        <family val="2"/>
      </rPr>
      <t xml:space="preserve">건축물 소유자 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정정</t>
    </r>
  </si>
  <si>
    <r>
      <rPr>
        <sz val="10"/>
        <rFont val="Noto Sans CJK SC"/>
        <family val="2"/>
      </rPr>
      <t xml:space="preserve">건축물 용도변경 허가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신고</t>
    </r>
  </si>
  <si>
    <r>
      <rPr>
        <sz val="10"/>
        <rFont val="Arial"/>
        <family val="0"/>
        <charset val="1"/>
      </rPr>
      <t xml:space="preserve">50,000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~1,600,000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</si>
  <si>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건축물 해체 허가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</si>
  <si>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</si>
  <si>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건축물대장 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초본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</si>
  <si>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발급 </t>
    </r>
    <r>
      <rPr>
        <sz val="10"/>
        <rFont val="Arial"/>
        <family val="0"/>
        <charset val="1"/>
      </rPr>
      <t xml:space="preserve">: 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열람 </t>
    </r>
    <r>
      <rPr>
        <sz val="10"/>
        <rFont val="Arial"/>
        <family val="0"/>
        <charset val="1"/>
      </rPr>
      <t xml:space="preserve">: 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인터넷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24) : </t>
    </r>
    <r>
      <rPr>
        <sz val="10"/>
        <rFont val="Noto Sans CJK SC"/>
        <family val="2"/>
      </rPr>
      <t xml:space="preserve">무료</t>
    </r>
  </si>
  <si>
    <r>
      <rPr>
        <sz val="10"/>
        <rFont val="Noto Sans CJK SC"/>
        <family val="2"/>
      </rPr>
      <t xml:space="preserve">건축물대장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생성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재작성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</si>
  <si>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.</t>
    </r>
  </si>
  <si>
    <t xml:space="preserve">건축물대장말소신청</t>
  </si>
  <si>
    <t xml:space="preserve">건축물대장전환신청</t>
  </si>
  <si>
    <r>
      <rPr>
        <sz val="10"/>
        <rFont val="Noto Sans CJK SC"/>
        <family val="2"/>
      </rPr>
      <t xml:space="preserve">건축물도로명주소 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정정</t>
    </r>
  </si>
  <si>
    <t xml:space="preserve">건축물부존재증명 발급신청</t>
  </si>
  <si>
    <t xml:space="preserve">건축물소유자변경신청</t>
  </si>
  <si>
    <t xml:space="preserve">건축물용도변경신고</t>
  </si>
  <si>
    <t xml:space="preserve">건축물착공신고</t>
  </si>
  <si>
    <r>
      <rPr>
        <sz val="10"/>
        <rFont val="Noto Sans CJK SC"/>
        <family val="2"/>
      </rPr>
      <t xml:space="preserve">동남구청 건축과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건축과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시청 건축과</t>
    </r>
  </si>
  <si>
    <r>
      <rPr>
        <sz val="10"/>
        <rFont val="Noto Sans CJK SC"/>
        <family val="2"/>
      </rPr>
      <t xml:space="preserve">건축물표시 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정정</t>
    </r>
  </si>
  <si>
    <r>
      <rPr>
        <sz val="10"/>
        <rFont val="Noto Sans CJK SC"/>
        <family val="2"/>
      </rPr>
      <t xml:space="preserve">건축물표시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정정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</si>
  <si>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t xml:space="preserve">건축신고</t>
  </si>
  <si>
    <r>
      <rPr>
        <sz val="10"/>
        <rFont val="Arial"/>
        <family val="0"/>
        <charset val="1"/>
      </rPr>
      <t xml:space="preserve">50,000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~1,600,000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「천안시 건축 조례」 제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조 및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별표 </t>
    </r>
    <r>
      <rPr>
        <sz val="10"/>
        <rFont val="Arial"/>
        <family val="0"/>
        <charset val="1"/>
      </rPr>
      <t xml:space="preserve">1] </t>
    </r>
    <r>
      <rPr>
        <sz val="10"/>
        <rFont val="Noto Sans CJK SC"/>
        <family val="2"/>
      </rPr>
      <t xml:space="preserve">참조</t>
    </r>
  </si>
  <si>
    <t xml:space="preserve">건축허가</t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</si>
  <si>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층이상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층미만 또는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만제곱미터이상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만제곱미터미만 건축물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건축사 업무대행 건축물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</si>
  <si>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층이상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층미만 또는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천제곱미터이상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만제곱미터미만 건축물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건축사 업무대행 건축물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</si>
  <si>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층이하또는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천제곱미터미만 건축물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</si>
  <si>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층이하또는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천제곱미터미만 건축물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건축사 업무대행 건축물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</si>
  <si>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층이하또는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천제곱미터미만 건축물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단독주택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건축사 업무대행 건축물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</si>
  <si>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층이상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층미만 또는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천제곱미터 이상 또는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천제곱미터 미만건축물</t>
    </r>
  </si>
  <si>
    <r>
      <rPr>
        <sz val="10"/>
        <rFont val="Noto Sans CJK SC"/>
        <family val="2"/>
      </rPr>
      <t xml:space="preserve">건축허가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층이상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층미만</t>
    </r>
    <r>
      <rPr>
        <sz val="10"/>
        <rFont val="Arial"/>
        <family val="0"/>
        <charset val="1"/>
      </rPr>
      <t xml:space="preserve">·1</t>
    </r>
    <r>
      <rPr>
        <sz val="10"/>
        <rFont val="Noto Sans CJK SC"/>
        <family val="2"/>
      </rPr>
      <t xml:space="preserve">천제곱미터이상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천제곱미터미만건축물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건축사업무대행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</si>
  <si>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검사유효기간 연장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검사유예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명령이행기간연장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</si>
  <si>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게임제작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등록</t>
    </r>
  </si>
  <si>
    <r>
      <rPr>
        <sz val="10"/>
        <rFont val="Noto Sans CJK SC"/>
        <family val="2"/>
      </rPr>
      <t xml:space="preserve">동남구청 자치행정과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자치행정과</t>
    </r>
  </si>
  <si>
    <r>
      <rPr>
        <sz val="10"/>
        <rFont val="Noto Sans CJK SC"/>
        <family val="2"/>
      </rPr>
      <t xml:space="preserve">게임제작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등의 영업자 지위승계 신고</t>
    </r>
  </si>
  <si>
    <r>
      <rPr>
        <sz val="10"/>
        <rFont val="Noto Sans CJK SC"/>
        <family val="2"/>
      </rPr>
      <t xml:space="preserve">게임제작업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배급업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청소년게임제공업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인터넷컴퓨터게임시설제공업 등의 허가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신고사항 변경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</si>
  <si>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</si>
  <si>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t xml:space="preserve">격리통지서 및 격리해제사실확인서 발급 위임장</t>
  </si>
  <si>
    <t xml:space="preserve">서북구보건소 감염병대응센터</t>
  </si>
  <si>
    <r>
      <rPr>
        <sz val="10"/>
        <rFont val="Noto Sans CJK SC"/>
        <family val="2"/>
      </rPr>
      <t xml:space="preserve">고압가스 수입업자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운반자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등록</t>
    </r>
  </si>
  <si>
    <r>
      <rPr>
        <sz val="10"/>
        <rFont val="Arial"/>
        <family val="0"/>
        <charset val="1"/>
      </rPr>
      <t xml:space="preserve">15,000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</si>
  <si>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고압가스 안전관리자 선임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퇴직신고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고압가스 사업자등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특정고압가스 사용신고자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</si>
  <si>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고압가스 제조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</si>
  <si>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변경허가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</si>
  <si>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고압가스 제조 안전관리자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퇴직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</si>
  <si>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고압가스 제조 허가증 재발급 신청서</t>
  </si>
  <si>
    <r>
      <rPr>
        <sz val="10"/>
        <rFont val="Noto Sans CJK SC"/>
        <family val="2"/>
      </rPr>
      <t xml:space="preserve">고압가스 제조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저장소설치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허가</t>
    </r>
  </si>
  <si>
    <r>
      <rPr>
        <sz val="10"/>
        <rFont val="Noto Sans CJK SC"/>
        <family val="2"/>
      </rPr>
      <t xml:space="preserve">허가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제조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저장소설치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     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제조？저장소？판매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허가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제조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저장소설치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 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제조？저장소？판매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</si>
  <si>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고압가스 제조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저장소설치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판매 허가증 재발급신청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</si>
  <si>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</si>
  <si>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고압가스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저장소 사용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개시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중단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폐지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신고서</t>
    </r>
  </si>
  <si>
    <r>
      <rPr>
        <sz val="10"/>
        <rFont val="Noto Sans CJK SC"/>
        <family val="2"/>
      </rPr>
      <t xml:space="preserve">고압가스제조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</si>
  <si>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고압가스제조 신고증명서 재발급 신청</t>
  </si>
  <si>
    <r>
      <rPr>
        <sz val="10"/>
        <rFont val="Noto Sans CJK SC"/>
        <family val="2"/>
      </rPr>
      <t xml:space="preserve">고위험임산부 의료비 지원사업 </t>
    </r>
    <r>
      <rPr>
        <sz val="10"/>
        <rFont val="Arial"/>
        <family val="0"/>
        <charset val="1"/>
      </rPr>
      <t xml:space="preserve">(25.9.5.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</si>
  <si>
    <t xml:space="preserve">고위험임산부의료비지원 신청서</t>
  </si>
  <si>
    <t xml:space="preserve">서북구보건소 건강관리과</t>
  </si>
  <si>
    <r>
      <rPr>
        <sz val="10"/>
        <rFont val="Noto Sans CJK SC"/>
        <family val="2"/>
      </rPr>
      <t xml:space="preserve">곤충의</t>
    </r>
    <r>
      <rPr>
        <sz val="10"/>
        <rFont val="Arial"/>
        <family val="0"/>
        <charset val="1"/>
      </rPr>
      <t xml:space="preserve">( )</t>
    </r>
    <r>
      <rPr>
        <sz val="10"/>
        <rFont val="Noto Sans CJK SC"/>
        <family val="2"/>
      </rPr>
      <t xml:space="preserve">사육업</t>
    </r>
    <r>
      <rPr>
        <sz val="10"/>
        <rFont val="Arial"/>
        <family val="0"/>
        <charset val="1"/>
      </rPr>
      <t xml:space="preserve">( )</t>
    </r>
    <r>
      <rPr>
        <sz val="10"/>
        <rFont val="Noto Sans CJK SC"/>
        <family val="2"/>
      </rPr>
      <t xml:space="preserve">생산업</t>
    </r>
    <r>
      <rPr>
        <sz val="10"/>
        <rFont val="Arial"/>
        <family val="0"/>
        <charset val="1"/>
      </rPr>
      <t xml:space="preserve">( )</t>
    </r>
    <r>
      <rPr>
        <sz val="10"/>
        <rFont val="Noto Sans CJK SC"/>
        <family val="2"/>
      </rPr>
      <t xml:space="preserve">가공업</t>
    </r>
    <r>
      <rPr>
        <sz val="10"/>
        <rFont val="Arial"/>
        <family val="0"/>
        <charset val="1"/>
      </rPr>
      <t xml:space="preserve">( )</t>
    </r>
    <r>
      <rPr>
        <sz val="10"/>
        <rFont val="Noto Sans CJK SC"/>
        <family val="2"/>
      </rPr>
      <t xml:space="preserve">유통업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</si>
  <si>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골재 선별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파쇄신고 또는 바다골재 선별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세척 신고</t>
    </r>
  </si>
  <si>
    <t xml:space="preserve">시청 하천과</t>
  </si>
  <si>
    <t xml:space="preserve">골재채취업 등록</t>
  </si>
  <si>
    <r>
      <rPr>
        <sz val="10"/>
        <rFont val="Arial"/>
        <family val="0"/>
        <charset val="1"/>
      </rPr>
      <t xml:space="preserve">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골재채취법 제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조의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)</t>
    </r>
  </si>
  <si>
    <t xml:space="preserve">골재채취업 등록사항 변경신고</t>
  </si>
  <si>
    <t xml:space="preserve">골재채취업 법인합병신고</t>
  </si>
  <si>
    <t xml:space="preserve">골재채취업 상속신고</t>
  </si>
  <si>
    <r>
      <rPr>
        <sz val="10"/>
        <rFont val="Noto Sans CJK SC"/>
        <family val="2"/>
      </rPr>
      <t xml:space="preserve">골재채취업 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양수신고</t>
    </r>
  </si>
  <si>
    <t xml:space="preserve">골재채취허가</t>
  </si>
  <si>
    <t xml:space="preserve">공동주택가격 확인</t>
  </si>
  <si>
    <t xml:space="preserve">공사감리 완료보고서</t>
  </si>
  <si>
    <r>
      <rPr>
        <sz val="10"/>
        <rFont val="Noto Sans CJK SC"/>
        <family val="2"/>
      </rPr>
      <t xml:space="preserve">공사계획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승인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변경승인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</si>
  <si>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공사계획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</si>
  <si>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공연장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등록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</si>
  <si>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: 10,000</t>
    </r>
    <r>
      <rPr>
        <sz val="10"/>
        <rFont val="Noto Sans CJK SC"/>
        <family val="2"/>
      </rPr>
      <t xml:space="preserve">원  변경 </t>
    </r>
    <r>
      <rPr>
        <sz val="10"/>
        <rFont val="Arial"/>
        <family val="0"/>
        <charset val="1"/>
      </rPr>
      <t xml:space="preserve">: 5,000</t>
    </r>
    <r>
      <rPr>
        <sz val="10"/>
        <rFont val="Noto Sans CJK SC"/>
        <family val="2"/>
      </rPr>
      <t xml:space="preserve">원</t>
    </r>
  </si>
  <si>
    <t xml:space="preserve">공연장 등록증 재발급 신청</t>
  </si>
  <si>
    <r>
      <rPr>
        <sz val="10"/>
        <rFont val="Noto Sans CJK SC"/>
        <family val="2"/>
      </rPr>
      <t xml:space="preserve">공연장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재해대처계획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</si>
  <si>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공유수면 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사용 허가</t>
    </r>
  </si>
  <si>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</si>
  <si>
    <t xml:space="preserve">공유재산 사용 허가</t>
  </si>
  <si>
    <t xml:space="preserve">공유재산 사용허가</t>
  </si>
  <si>
    <r>
      <rPr>
        <sz val="10"/>
        <rFont val="Noto Sans CJK SC"/>
        <family val="2"/>
      </rPr>
      <t xml:space="preserve">공인중개사자격증 교부 및 재교부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분사무소설치신고필증</t>
    </r>
  </si>
  <si>
    <r>
      <rPr>
        <sz val="10"/>
        <rFont val="Noto Sans CJK SC"/>
        <family val="2"/>
      </rPr>
      <t xml:space="preserve">공인중개사자격증 교부 및 재교부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분사무소설치신고확인서</t>
    </r>
  </si>
  <si>
    <t xml:space="preserve">서북구청 민원지적과</t>
  </si>
  <si>
    <t xml:space="preserve">공작물축조신고</t>
  </si>
  <si>
    <r>
      <rPr>
        <sz val="10"/>
        <rFont val="Noto Sans CJK SC"/>
        <family val="2"/>
      </rPr>
      <t xml:space="preserve">공장등록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부분가동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단순처리</t>
    </r>
  </si>
  <si>
    <r>
      <rPr>
        <sz val="10"/>
        <rFont val="Noto Sans CJK SC"/>
        <family val="2"/>
      </rPr>
      <t xml:space="preserve">공장등록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부분가동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의제처리</t>
    </r>
  </si>
  <si>
    <t xml:space="preserve">공장등록증명</t>
  </si>
  <si>
    <t xml:space="preserve">공장설립등의 완료신고</t>
  </si>
  <si>
    <t xml:space="preserve">시청 기업지원과</t>
  </si>
  <si>
    <r>
      <rPr>
        <sz val="10"/>
        <rFont val="Noto Sans CJK SC"/>
        <family val="2"/>
      </rPr>
      <t xml:space="preserve">공장설립등의 완료신고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단순처리</t>
    </r>
  </si>
  <si>
    <r>
      <rPr>
        <sz val="10"/>
        <rFont val="Noto Sans CJK SC"/>
        <family val="2"/>
      </rPr>
      <t xml:space="preserve">공장설립승인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)&lt;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&gt;-</t>
    </r>
    <r>
      <rPr>
        <sz val="10"/>
        <rFont val="Noto Sans CJK SC"/>
        <family val="2"/>
      </rPr>
      <t xml:space="preserve">의제처리가 없는 경우</t>
    </r>
  </si>
  <si>
    <r>
      <rPr>
        <sz val="10"/>
        <rFont val="Noto Sans CJK SC"/>
        <family val="2"/>
      </rPr>
      <t xml:space="preserve">공장설립승인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&gt;-</t>
    </r>
    <r>
      <rPr>
        <sz val="10"/>
        <rFont val="Noto Sans CJK SC"/>
        <family val="2"/>
      </rPr>
      <t xml:space="preserve">동일행정기</t>
    </r>
  </si>
  <si>
    <t xml:space="preserve">공중영업자 지위승계신고</t>
  </si>
  <si>
    <t xml:space="preserve">공중위생영업 폐업신고</t>
  </si>
  <si>
    <t xml:space="preserve">공중위생영업변경신고</t>
  </si>
  <si>
    <t xml:space="preserve">공중위생영업신고</t>
  </si>
  <si>
    <r>
      <rPr>
        <sz val="10"/>
        <rFont val="Noto Sans CJK SC"/>
        <family val="2"/>
      </rPr>
      <t xml:space="preserve">과점주주 서면신고서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천안시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</si>
  <si>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관광사업 등록신청서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관광숙박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야영장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종합휴양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외국인관광 도시민박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</si>
  <si>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시청 관광과</t>
  </si>
  <si>
    <r>
      <rPr>
        <sz val="10"/>
        <rFont val="Noto Sans CJK SC"/>
        <family val="2"/>
      </rPr>
      <t xml:space="preserve">외국인관광 도시민박업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  그밖의 관광사업 </t>
    </r>
    <r>
      <rPr>
        <sz val="10"/>
        <rFont val="Arial"/>
        <family val="0"/>
        <charset val="1"/>
      </rPr>
      <t xml:space="preserve">: 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숙박시설은 매실당 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원가산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</si>
  <si>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관광사업 등록신청서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국내외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국내여행업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</si>
  <si>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관광사업 변경등록신청서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관광숙박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야영장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관광객이용시설업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국제회의업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</si>
  <si>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숙박시설은 매실당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원가산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</si>
  <si>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관광사업 변경등록신청서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국내외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국내여행업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</si>
  <si>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관광사업 휴업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통보서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국내외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국내여행업</t>
    </r>
    <r>
      <rPr>
        <sz val="10"/>
        <rFont val="Arial"/>
        <family val="0"/>
        <charset val="1"/>
      </rPr>
      <t xml:space="preserve">)</t>
    </r>
  </si>
  <si>
    <t xml:space="preserve">관리규약의 제정 및 개정 등신고서</t>
  </si>
  <si>
    <r>
      <rPr>
        <sz val="10"/>
        <rFont val="Noto Sans CJK SC"/>
        <family val="2"/>
      </rPr>
      <t xml:space="preserve">관리대상기기 등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</t>
    </r>
  </si>
  <si>
    <t xml:space="preserve">관리방법의 결정 및 변경결정 신고서</t>
  </si>
  <si>
    <t xml:space="preserve">관리인 선임 신고</t>
  </si>
  <si>
    <t xml:space="preserve">광고물 관리자 변경 신고</t>
  </si>
  <si>
    <r>
      <rPr>
        <sz val="10"/>
        <rFont val="Noto Sans CJK SC"/>
        <family val="2"/>
      </rPr>
      <t xml:space="preserve">구급차등 운용 변경 통보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</si>
  <si>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구급차등 운용 통보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</si>
  <si>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구급차등 운용</t>
    </r>
    <r>
      <rPr>
        <sz val="10"/>
        <rFont val="Arial"/>
        <family val="0"/>
        <charset val="1"/>
      </rPr>
      <t xml:space="preserve">([  ]</t>
    </r>
    <r>
      <rPr>
        <sz val="10"/>
        <rFont val="Noto Sans CJK SC"/>
        <family val="2"/>
      </rPr>
      <t xml:space="preserve">부착용 통보확인증 </t>
    </r>
    <r>
      <rPr>
        <sz val="10"/>
        <rFont val="Arial"/>
        <family val="0"/>
        <charset val="1"/>
      </rPr>
      <t xml:space="preserve">[  ]</t>
    </r>
    <r>
      <rPr>
        <sz val="10"/>
        <rFont val="Noto Sans CJK SC"/>
        <family val="2"/>
      </rPr>
      <t xml:space="preserve">신고확인증 </t>
    </r>
    <r>
      <rPr>
        <sz val="10"/>
        <rFont val="Arial"/>
        <family val="0"/>
        <charset val="1"/>
      </rPr>
      <t xml:space="preserve">[  ]</t>
    </r>
    <r>
      <rPr>
        <sz val="10"/>
        <rFont val="Noto Sans CJK SC"/>
        <family val="2"/>
      </rPr>
      <t xml:space="preserve">부착용 신고확인증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재발급 신청서</t>
    </r>
  </si>
  <si>
    <r>
      <rPr>
        <sz val="10"/>
        <rFont val="Noto Sans CJK SC"/>
        <family val="2"/>
      </rPr>
      <t xml:space="preserve">구급차의 </t>
    </r>
    <r>
      <rPr>
        <sz val="10"/>
        <rFont val="Arial"/>
        <family val="0"/>
        <charset val="1"/>
      </rPr>
      <t xml:space="preserve">([ ]</t>
    </r>
    <r>
      <rPr>
        <sz val="10"/>
        <rFont val="Noto Sans CJK SC"/>
        <family val="2"/>
      </rPr>
      <t xml:space="preserve">차령연장 </t>
    </r>
    <r>
      <rPr>
        <sz val="10"/>
        <rFont val="Arial"/>
        <family val="0"/>
        <charset val="1"/>
      </rPr>
      <t xml:space="preserve">[ ]</t>
    </r>
    <r>
      <rPr>
        <sz val="10"/>
        <rFont val="Noto Sans CJK SC"/>
        <family val="2"/>
      </rPr>
      <t xml:space="preserve">차령연장의 신청의 연기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</si>
  <si>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t xml:space="preserve">국가지정문화유산 보존에 영향을 미칠 우려가 있는 행위에 대한 허가신청</t>
  </si>
  <si>
    <t xml:space="preserve">국가지정문화유산 현상변경등 완료신고</t>
  </si>
  <si>
    <t xml:space="preserve">국가지정문화유산 현상변경등 착수신고</t>
  </si>
  <si>
    <r>
      <rPr>
        <sz val="10"/>
        <rFont val="Noto Sans CJK SC"/>
        <family val="2"/>
      </rPr>
      <t xml:space="preserve">국내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유료직업소개사업등록</t>
    </r>
  </si>
  <si>
    <t xml:space="preserve">동남구청 산업교통과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</si>
  <si>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국내유료직업소개사업으로 한정</t>
    </r>
    <r>
      <rPr>
        <sz val="10"/>
        <rFont val="Arial"/>
        <family val="0"/>
        <charset val="1"/>
      </rPr>
      <t xml:space="preserve">)</t>
    </r>
  </si>
  <si>
    <t xml:space="preserve">국내유료직업소개사업등록</t>
  </si>
  <si>
    <t xml:space="preserve">서북구청 산업교통과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</si>
  <si>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</si>
  <si>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국민기초생활수급자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증명</t>
    </r>
  </si>
  <si>
    <t xml:space="preserve">국유재산 사용허가 신청서</t>
  </si>
  <si>
    <t xml:space="preserve">굴착행위 신고서</t>
  </si>
  <si>
    <t xml:space="preserve">맑은물사업본부 하수시설과</t>
  </si>
  <si>
    <r>
      <rPr>
        <sz val="10"/>
        <rFont val="Noto Sans CJK SC"/>
        <family val="2"/>
      </rPr>
      <t xml:space="preserve">굴착행위변경신고서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굴착깊이변경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굴착지름변경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원상복구예정일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시공업체명 변경</t>
    </r>
    <r>
      <rPr>
        <sz val="10"/>
        <rFont val="Arial"/>
        <family val="0"/>
        <charset val="1"/>
      </rPr>
      <t xml:space="preserve">)</t>
    </r>
  </si>
  <si>
    <t xml:space="preserve">굴착행위종료신고서</t>
  </si>
  <si>
    <r>
      <rPr>
        <sz val="10"/>
        <rFont val="Noto Sans CJK SC"/>
        <family val="2"/>
      </rPr>
      <t xml:space="preserve">권리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의무 승계신고</t>
    </r>
  </si>
  <si>
    <r>
      <rPr>
        <sz val="10"/>
        <rFont val="Noto Sans CJK SC"/>
        <family val="2"/>
      </rPr>
      <t xml:space="preserve">급수공사 시행승인 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토지사용승낙서 및 위임장 포함</t>
    </r>
    <r>
      <rPr>
        <sz val="10"/>
        <rFont val="Arial"/>
        <family val="0"/>
        <charset val="1"/>
      </rPr>
      <t xml:space="preserve">)</t>
    </r>
  </si>
  <si>
    <t xml:space="preserve">맑은물사업본부 급수과</t>
  </si>
  <si>
    <r>
      <rPr>
        <sz val="10"/>
        <rFont val="Arial"/>
        <family val="0"/>
        <charset val="1"/>
      </rPr>
      <t xml:space="preserve">15~25mm : 8,000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32~50mm : 16,000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75mm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</t>
    </r>
  </si>
  <si>
    <t xml:space="preserve">급수사용자 명의변경 신고서</t>
  </si>
  <si>
    <t xml:space="preserve">맑은물사업본부 관리과</t>
  </si>
  <si>
    <r>
      <rPr>
        <sz val="10"/>
        <rFont val="Noto Sans CJK SC"/>
        <family val="2"/>
      </rPr>
      <t xml:space="preserve">급수전 개전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폐전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중지 신청서</t>
    </r>
  </si>
  <si>
    <t xml:space="preserve">기계설비법 관련 서식</t>
  </si>
  <si>
    <r>
      <rPr>
        <sz val="10"/>
        <rFont val="Noto Sans CJK SC"/>
        <family val="2"/>
      </rPr>
      <t xml:space="preserve">기계설비유지관리자 선임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해임 신고서</t>
    </r>
  </si>
  <si>
    <t xml:space="preserve">기계설비유지관리자 신고사항 변경신고서</t>
  </si>
  <si>
    <t xml:space="preserve">기계식주차장치 철거신고</t>
  </si>
  <si>
    <t xml:space="preserve">기초연금 신청</t>
  </si>
  <si>
    <t xml:space="preserve">해당없음</t>
  </si>
  <si>
    <r>
      <rPr>
        <sz val="10"/>
        <rFont val="Noto Sans CJK SC"/>
        <family val="2"/>
      </rPr>
      <t xml:space="preserve">기타수질오염원 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관리 변경신고</t>
    </r>
  </si>
  <si>
    <r>
      <rPr>
        <sz val="10"/>
        <rFont val="Noto Sans CJK SC"/>
        <family val="2"/>
      </rPr>
      <t xml:space="preserve">기타수질오염원 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관리 신고</t>
    </r>
  </si>
  <si>
    <t xml:space="preserve">난임부부 시술비 지원 신청</t>
  </si>
  <si>
    <t xml:space="preserve">난임부부 한방치료비 지원 신청</t>
  </si>
  <si>
    <r>
      <rPr>
        <sz val="10"/>
        <rFont val="Noto Sans CJK SC"/>
        <family val="2"/>
      </rPr>
      <t xml:space="preserve">납세관리인 지정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</si>
  <si>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동남구청 세무과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세무과</t>
    </r>
  </si>
  <si>
    <t xml:space="preserve">납세증명</t>
  </si>
  <si>
    <r>
      <rPr>
        <sz val="10"/>
        <rFont val="Noto Sans CJK SC"/>
        <family val="2"/>
      </rPr>
      <t xml:space="preserve">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온수기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정수기 설치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변경설치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</si>
  <si>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노동조합설립신고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당해 시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도 관할구역내</t>
    </r>
  </si>
  <si>
    <t xml:space="preserve">시청 일자리경제과</t>
  </si>
  <si>
    <r>
      <rPr>
        <sz val="10"/>
        <rFont val="Noto Sans CJK SC"/>
        <family val="2"/>
      </rPr>
      <t xml:space="preserve">노동조합설립신고사항변경신고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당해 시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도 관할구역내</t>
    </r>
  </si>
  <si>
    <r>
      <rPr>
        <sz val="10"/>
        <rFont val="Noto Sans CJK SC"/>
        <family val="2"/>
      </rPr>
      <t xml:space="preserve">노동조합해산신고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유형없음</t>
    </r>
  </si>
  <si>
    <t xml:space="preserve">노래연습장업 등록</t>
  </si>
  <si>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</t>
    </r>
  </si>
  <si>
    <t xml:space="preserve">노래연습장업 변경등록</t>
  </si>
  <si>
    <r>
      <rPr>
        <sz val="10"/>
        <rFont val="Noto Sans CJK SC"/>
        <family val="2"/>
      </rPr>
      <t xml:space="preserve">노외주차장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통보서</t>
    </r>
  </si>
  <si>
    <r>
      <rPr>
        <sz val="10"/>
        <rFont val="Noto Sans CJK SC"/>
        <family val="2"/>
      </rPr>
      <t xml:space="preserve">노인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복지시설 변경신고</t>
    </r>
  </si>
  <si>
    <t xml:space="preserve">시청 노인복지과</t>
  </si>
  <si>
    <t xml:space="preserve">노인맞춤돌봄서비스 신청</t>
  </si>
  <si>
    <t xml:space="preserve">노인여가복지시설 설치신고</t>
  </si>
  <si>
    <r>
      <rPr>
        <sz val="10"/>
        <rFont val="Noto Sans CJK SC"/>
        <family val="2"/>
      </rPr>
      <t xml:space="preserve">동남구청 주민복지과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주민복지과</t>
    </r>
  </si>
  <si>
    <t xml:space="preserve">노인의료복지시설 설치신고</t>
  </si>
  <si>
    <t xml:space="preserve">농약판매업등록 및 변경등록</t>
  </si>
  <si>
    <t xml:space="preserve">시청 농업정책과</t>
  </si>
  <si>
    <t xml:space="preserve">10,000</t>
  </si>
  <si>
    <r>
      <rPr>
        <sz val="10"/>
        <rFont val="Noto Sans CJK SC"/>
        <family val="2"/>
      </rPr>
      <t xml:space="preserve">농어촌관광휴양지 사업자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</si>
  <si>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숙박시설이 있는 경우 실당 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원 가산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</si>
  <si>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농어촌관광휴양지개발사업계획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&gt;</t>
    </r>
  </si>
  <si>
    <r>
      <rPr>
        <sz val="10"/>
        <rFont val="Noto Sans CJK SC"/>
        <family val="2"/>
      </rPr>
      <t xml:space="preserve">농업생산기반시설이나 용수의 사용허가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사용 신청</t>
    </r>
  </si>
  <si>
    <r>
      <rPr>
        <sz val="10"/>
        <rFont val="Noto Sans CJK SC"/>
        <family val="2"/>
      </rPr>
      <t xml:space="preserve">농지원부 등본 교부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관할구역 안</t>
    </r>
    <r>
      <rPr>
        <sz val="10"/>
        <rFont val="Arial"/>
        <family val="0"/>
        <charset val="1"/>
      </rPr>
      <t xml:space="preserve">)</t>
    </r>
  </si>
  <si>
    <t xml:space="preserve">농지의 타용도 일시사용허가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</si>
  <si>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농지면적이 </t>
    </r>
    <r>
      <rPr>
        <sz val="10"/>
        <rFont val="Arial"/>
        <family val="0"/>
        <charset val="1"/>
      </rPr>
      <t xml:space="preserve">3,500</t>
    </r>
    <r>
      <rPr>
        <sz val="10"/>
        <rFont val="Noto Sans CJK SC"/>
        <family val="2"/>
      </rPr>
      <t xml:space="preserve">㎡이하인 경우 </t>
    </r>
    <r>
      <rPr>
        <sz val="10"/>
        <rFont val="Arial"/>
        <family val="0"/>
        <charset val="1"/>
      </rPr>
      <t xml:space="preserve">: 10,000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 </t>
    </r>
    <r>
      <rPr>
        <sz val="10"/>
        <rFont val="Noto Sans CJK SC"/>
        <family val="2"/>
      </rPr>
      <t xml:space="preserve">농지면적이 </t>
    </r>
    <r>
      <rPr>
        <sz val="10"/>
        <rFont val="Arial"/>
        <family val="0"/>
        <charset val="1"/>
      </rPr>
      <t xml:space="preserve">3,500</t>
    </r>
    <r>
      <rPr>
        <sz val="10"/>
        <rFont val="Noto Sans CJK SC"/>
        <family val="2"/>
      </rPr>
      <t xml:space="preserve">㎡를 초과할 경우</t>
    </r>
    <r>
      <rPr>
        <sz val="10"/>
        <rFont val="Arial"/>
        <family val="0"/>
        <charset val="1"/>
      </rPr>
      <t xml:space="preserve">,  10,000</t>
    </r>
    <r>
      <rPr>
        <sz val="10"/>
        <rFont val="Noto Sans CJK SC"/>
        <family val="2"/>
      </rPr>
      <t xml:space="preserve">원에 그 초과면적 </t>
    </r>
    <r>
      <rPr>
        <sz val="10"/>
        <rFont val="Arial"/>
        <family val="0"/>
        <charset val="1"/>
      </rPr>
      <t xml:space="preserve">350</t>
    </r>
    <r>
      <rPr>
        <sz val="10"/>
        <rFont val="Noto Sans CJK SC"/>
        <family val="2"/>
      </rPr>
      <t xml:space="preserve">㎡마다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 가산</t>
    </r>
  </si>
  <si>
    <t xml:space="preserve">농지전용 용도변경 승인</t>
  </si>
  <si>
    <r>
      <rPr>
        <sz val="10"/>
        <rFont val="Arial"/>
        <family val="0"/>
        <charset val="1"/>
      </rPr>
      <t xml:space="preserve">5000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</si>
  <si>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농지전용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허가</t>
    </r>
  </si>
  <si>
    <r>
      <rPr>
        <sz val="10"/>
        <rFont val="Noto Sans CJK SC"/>
        <family val="2"/>
      </rPr>
      <t xml:space="preserve">농지취득 자격증명 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농업경영계획서를 작성하지 않는경우</t>
    </r>
  </si>
  <si>
    <t xml:space="preserve">다자녀 맘 산후 건강관리 지원</t>
  </si>
  <si>
    <t xml:space="preserve">다자녀 맘 산후 건강관리 지원 신청서</t>
  </si>
  <si>
    <r>
      <rPr>
        <sz val="10"/>
        <rFont val="Noto Sans CJK SC"/>
        <family val="2"/>
      </rPr>
      <t xml:space="preserve">담배소매업 휴업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</si>
  <si>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t xml:space="preserve">담배소매인 영업소 위치변경 승인신청</t>
  </si>
  <si>
    <t xml:space="preserve">담배소매인 지정서 재발급 신청</t>
  </si>
  <si>
    <t xml:space="preserve">담배소매인 지정신청</t>
  </si>
  <si>
    <r>
      <rPr>
        <sz val="10"/>
        <rFont val="Noto Sans CJK SC"/>
        <family val="2"/>
      </rPr>
      <t xml:space="preserve">담배소매인 허가증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지정서 등 재발급 신청서</t>
    </r>
  </si>
  <si>
    <r>
      <rPr>
        <sz val="10"/>
        <rFont val="Noto Sans CJK SC"/>
        <family val="2"/>
      </rPr>
      <t xml:space="preserve">대관 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천안박물관</t>
    </r>
    <r>
      <rPr>
        <sz val="10"/>
        <rFont val="Arial"/>
        <family val="0"/>
        <charset val="1"/>
      </rPr>
      <t xml:space="preserve">)</t>
    </r>
  </si>
  <si>
    <t xml:space="preserve">대기배출시설 변경신고</t>
  </si>
  <si>
    <t xml:space="preserve">없  음</t>
  </si>
  <si>
    <r>
      <rPr>
        <sz val="10"/>
        <rFont val="Noto Sans CJK SC"/>
        <family val="2"/>
      </rPr>
      <t xml:space="preserve">대기배출시설 변경신고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사업장 명칭변경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대표자변경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전부폐쇄의 경우</t>
    </r>
  </si>
  <si>
    <t xml:space="preserve">대기배출시설 변경허가 신청</t>
  </si>
  <si>
    <t xml:space="preserve">대기배출시설 설치신고</t>
  </si>
  <si>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</si>
  <si>
    <t xml:space="preserve">대기배출시설 설치허가</t>
  </si>
  <si>
    <r>
      <rPr>
        <sz val="10"/>
        <rFont val="Noto Sans CJK SC"/>
        <family val="2"/>
      </rPr>
      <t xml:space="preserve">대부업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대부중개업 등록갱신신청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유형없음</t>
    </r>
  </si>
  <si>
    <r>
      <rPr>
        <sz val="10"/>
        <rFont val="Noto Sans CJK SC"/>
        <family val="2"/>
      </rPr>
      <t xml:space="preserve">대부업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대부중개업 등록증 분실신고</t>
    </r>
  </si>
  <si>
    <r>
      <rPr>
        <sz val="10"/>
        <rFont val="Noto Sans CJK SC"/>
        <family val="2"/>
      </rPr>
      <t xml:space="preserve">대부업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대부중개업 폐업신고</t>
    </r>
  </si>
  <si>
    <r>
      <rPr>
        <sz val="10"/>
        <rFont val="Noto Sans CJK SC"/>
        <family val="2"/>
      </rPr>
      <t xml:space="preserve">대부업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대부중개업의 등록</t>
    </r>
  </si>
  <si>
    <r>
      <rPr>
        <sz val="10"/>
        <rFont val="Arial"/>
        <family val="0"/>
        <charset val="1"/>
      </rPr>
      <t xml:space="preserve">100,000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</si>
  <si>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대부업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대부중개업의 등록변경</t>
    </r>
  </si>
  <si>
    <t xml:space="preserve">대수선신고</t>
  </si>
  <si>
    <r>
      <rPr>
        <sz val="10"/>
        <rFont val="Noto Sans CJK SC"/>
        <family val="2"/>
      </rPr>
      <t xml:space="preserve">도로관계 권리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의무 승계등 신고</t>
    </r>
  </si>
  <si>
    <t xml:space="preserve">도로등의 연결허가</t>
  </si>
  <si>
    <r>
      <rPr>
        <sz val="10"/>
        <rFont val="Noto Sans CJK SC"/>
        <family val="2"/>
      </rPr>
      <t xml:space="preserve">도로명주소대장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등본교부 및 열람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</si>
  <si>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등본발급 </t>
    </r>
    <r>
      <rPr>
        <sz val="10"/>
        <rFont val="Arial"/>
        <family val="0"/>
        <charset val="1"/>
      </rPr>
      <t xml:space="preserve">: 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열람 </t>
    </r>
    <r>
      <rPr>
        <sz val="10"/>
        <rFont val="Arial"/>
        <family val="0"/>
        <charset val="1"/>
      </rPr>
      <t xml:space="preserve">: 300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</si>
  <si>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도로점용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원상회복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공사완료 확인</t>
    </r>
  </si>
  <si>
    <t xml:space="preserve">도로점용허가 기간연장 신청</t>
  </si>
  <si>
    <t xml:space="preserve">도로점용허가 변경 신청</t>
  </si>
  <si>
    <t xml:space="preserve">도로점용허가 취소 신청서</t>
  </si>
  <si>
    <r>
      <rPr>
        <sz val="10"/>
        <rFont val="Noto Sans CJK SC"/>
        <family val="2"/>
      </rPr>
      <t xml:space="preserve">도로점용허가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굴착포함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특별시도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지방도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군도</t>
    </r>
  </si>
  <si>
    <r>
      <rPr>
        <sz val="10"/>
        <rFont val="Noto Sans CJK SC"/>
        <family val="2"/>
      </rPr>
      <t xml:space="preserve">도로점용허가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특별시도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지방도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군도</t>
    </r>
  </si>
  <si>
    <t xml:space="preserve">도로폐지신청</t>
  </si>
  <si>
    <t xml:space="preserve">도매시장법인 지정신청</t>
  </si>
  <si>
    <t xml:space="preserve">농수산물도매시장관리사업소 공통</t>
  </si>
  <si>
    <t xml:space="preserve">도매업무관리자 폐지신고</t>
  </si>
  <si>
    <r>
      <rPr>
        <sz val="10"/>
        <rFont val="Noto Sans CJK SC"/>
        <family val="2"/>
      </rPr>
      <t xml:space="preserve">도서관설립변경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</si>
  <si>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도서관사업본부 중앙도서관</t>
  </si>
  <si>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군계획시설사업 실시계획인가</t>
    </r>
  </si>
  <si>
    <t xml:space="preserve">시청 도시계획과</t>
  </si>
  <si>
    <r>
      <rPr>
        <sz val="10"/>
        <rFont val="Noto Sans CJK SC"/>
        <family val="2"/>
      </rPr>
      <t xml:space="preserve">도시가스사업자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휴업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신고서</t>
    </r>
  </si>
  <si>
    <t xml:space="preserve">도시가스사업자 지위승계 신고</t>
  </si>
  <si>
    <r>
      <rPr>
        <sz val="10"/>
        <rFont val="Noto Sans CJK SC"/>
        <family val="2"/>
      </rPr>
      <t xml:space="preserve">도시가스충전사업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신청서</t>
    </r>
  </si>
  <si>
    <t xml:space="preserve">도시개발구역지정 제안신청서</t>
  </si>
  <si>
    <t xml:space="preserve">도시개발사업 시행자지정 신청서</t>
  </si>
  <si>
    <t xml:space="preserve">도시개발사업 실시계획인가 신청서</t>
  </si>
  <si>
    <t xml:space="preserve">동력수상레저기구 등록사항 변경신청</t>
  </si>
  <si>
    <t xml:space="preserve">시청 안전총괄과</t>
  </si>
  <si>
    <r>
      <rPr>
        <sz val="10"/>
        <rFont val="Arial"/>
        <family val="0"/>
        <charset val="1"/>
      </rPr>
      <t xml:space="preserve">1,500</t>
    </r>
    <r>
      <rPr>
        <sz val="10"/>
        <rFont val="Noto Sans CJK SC"/>
        <family val="2"/>
      </rPr>
      <t xml:space="preserve">원</t>
    </r>
  </si>
  <si>
    <t xml:space="preserve">동력수상레저기구 등록신청</t>
  </si>
  <si>
    <r>
      <rPr>
        <sz val="10"/>
        <rFont val="Noto Sans CJK SC"/>
        <family val="2"/>
      </rPr>
      <t xml:space="preserve">등록번호판</t>
    </r>
    <r>
      <rPr>
        <sz val="10"/>
        <rFont val="Arial"/>
        <family val="0"/>
        <charset val="1"/>
      </rPr>
      <t xml:space="preserve">(13,500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등록증</t>
    </r>
    <r>
      <rPr>
        <sz val="10"/>
        <rFont val="Arial"/>
        <family val="0"/>
        <charset val="1"/>
      </rPr>
      <t xml:space="preserve">(1,500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</si>
  <si>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동력수상레저기구 등록증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등록번호판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재발급</t>
    </r>
  </si>
  <si>
    <t xml:space="preserve">동력수상레저기구 말소등록 신청</t>
  </si>
  <si>
    <t xml:space="preserve">1500</t>
  </si>
  <si>
    <r>
      <rPr>
        <sz val="10"/>
        <rFont val="Noto Sans CJK SC"/>
        <family val="2"/>
      </rPr>
      <t xml:space="preserve">동물 진단용 방사선발생장치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설치 및 사용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재사용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</si>
  <si>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동물 진단용 방사선발생장치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설치 및 사용？재사용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</si>
  <si>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동물등록 재발급 신청서</t>
  </si>
  <si>
    <r>
      <rPr>
        <sz val="10"/>
        <rFont val="Noto Sans CJK SC"/>
        <family val="2"/>
      </rPr>
      <t xml:space="preserve">동물등록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동물등록 신규신청</t>
    </r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</si>
  <si>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무선식별장치 및 등록인식표의 분실 또는 훼손</t>
    </r>
    <r>
      <rPr>
        <sz val="10"/>
        <rFont val="Arial"/>
        <family val="0"/>
        <charset val="1"/>
      </rPr>
      <t xml:space="preserve">&gt;1. </t>
    </r>
    <r>
      <rPr>
        <sz val="10"/>
        <rFont val="Noto Sans CJK SC"/>
        <family val="2"/>
      </rPr>
      <t xml:space="preserve">무선식별장치 체내삽입 </t>
    </r>
    <r>
      <rPr>
        <sz val="10"/>
        <rFont val="Arial"/>
        <family val="0"/>
        <charset val="1"/>
      </rPr>
      <t xml:space="preserve">: 10,000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무선식별장치 체외부착 </t>
    </r>
    <r>
      <rPr>
        <sz val="10"/>
        <rFont val="Arial"/>
        <family val="0"/>
        <charset val="1"/>
      </rPr>
      <t xml:space="preserve">: 3,000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&gt;1. </t>
    </r>
    <r>
      <rPr>
        <sz val="10"/>
        <rFont val="Noto Sans CJK SC"/>
        <family val="2"/>
      </rPr>
      <t xml:space="preserve">수수료 없음</t>
    </r>
  </si>
  <si>
    <t xml:space="preserve">동물병원 개설신고</t>
  </si>
  <si>
    <t xml:space="preserve">동물약국 개설신고</t>
  </si>
  <si>
    <t xml:space="preserve">동물용 의약품등 관리약사등 변경신고</t>
  </si>
  <si>
    <r>
      <rPr>
        <sz val="10"/>
        <rFont val="Noto Sans CJK SC"/>
        <family val="2"/>
      </rPr>
      <t xml:space="preserve">동물용의약품도매상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동물용의료기기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수입업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수리업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</si>
  <si>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동물판매업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장묘업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등록</t>
    </r>
  </si>
  <si>
    <r>
      <rPr>
        <sz val="10"/>
        <rFont val="Noto Sans CJK SC"/>
        <family val="2"/>
      </rPr>
      <t xml:space="preserve">동물판매업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장묘업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허가</t>
    </r>
  </si>
  <si>
    <r>
      <rPr>
        <sz val="10"/>
        <rFont val="Noto Sans CJK SC"/>
        <family val="2"/>
      </rPr>
      <t xml:space="preserve">동물판매업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동물장묘업 등록 변경신고</t>
    </r>
  </si>
  <si>
    <r>
      <rPr>
        <sz val="10"/>
        <rFont val="Noto Sans CJK SC"/>
        <family val="2"/>
      </rPr>
      <t xml:space="preserve">동물판매업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동물장묘업 허가 변경신고</t>
    </r>
  </si>
  <si>
    <t xml:space="preserve">등록전환 신청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</si>
  <si>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필지 당 </t>
    </r>
    <r>
      <rPr>
        <sz val="10"/>
        <rFont val="Arial"/>
        <family val="0"/>
        <charset val="1"/>
      </rPr>
      <t xml:space="preserve">1,400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</si>
  <si>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마약류 취급자 변경 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</si>
  <si>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13,000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15,000</t>
    </r>
    <r>
      <rPr>
        <sz val="10"/>
        <rFont val="Noto Sans CJK SC"/>
        <family val="2"/>
      </rPr>
      <t xml:space="preserve">원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변경지정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12,000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</t>
    </r>
    <r>
      <rPr>
        <sz val="10"/>
        <rFont val="Arial"/>
        <family val="0"/>
        <charset val="1"/>
      </rPr>
      <t xml:space="preserve">(14,000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</si>
  <si>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마약류 취급자 변경허가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</si>
  <si>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13,000</t>
    </r>
    <r>
      <rPr>
        <sz val="10"/>
        <rFont val="Noto Sans CJK SC"/>
        <family val="2"/>
      </rPr>
      <t xml:space="preserve">원 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15,000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변경지정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12,000</t>
    </r>
    <r>
      <rPr>
        <sz val="10"/>
        <rFont val="Noto Sans CJK SC"/>
        <family val="2"/>
      </rPr>
      <t xml:space="preserve">원 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14,000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</si>
  <si>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마약류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양도승인</t>
    </r>
  </si>
  <si>
    <r>
      <rPr>
        <sz val="10"/>
        <rFont val="Noto Sans CJK SC"/>
        <family val="2"/>
      </rPr>
      <t xml:space="preserve">마약류취급자 등 허가증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지정서 재발급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</si>
  <si>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25,000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방문ㆍ우편 등 </t>
    </r>
    <r>
      <rPr>
        <sz val="10"/>
        <rFont val="Arial"/>
        <family val="0"/>
        <charset val="1"/>
      </rPr>
      <t xml:space="preserve">: 28,000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(</t>
    </r>
    <r>
      <rPr>
        <sz val="10"/>
        <rFont val="Noto Sans CJK SC"/>
        <family val="2"/>
      </rPr>
      <t xml:space="preserve">지정서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10,000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방문ㆍ우편 등 </t>
    </r>
    <r>
      <rPr>
        <sz val="10"/>
        <rFont val="Arial"/>
        <family val="0"/>
        <charset val="1"/>
      </rPr>
      <t xml:space="preserve">: 12,000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</si>
  <si>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마약류취급자 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재개업 신고</t>
    </r>
  </si>
  <si>
    <r>
      <rPr>
        <sz val="10"/>
        <rFont val="Noto Sans CJK SC"/>
        <family val="2"/>
      </rPr>
      <t xml:space="preserve">마약류취급자 허가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지정 신청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</si>
  <si>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마약류도매업자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31,000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: 35,000</t>
    </r>
    <r>
      <rPr>
        <sz val="10"/>
        <rFont val="Noto Sans CJK SC"/>
        <family val="2"/>
      </rPr>
      <t xml:space="preserve">원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마약류관리자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12,000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: 14,000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(</t>
    </r>
    <r>
      <rPr>
        <sz val="10"/>
        <rFont val="Noto Sans CJK SC"/>
        <family val="2"/>
      </rPr>
      <t xml:space="preserve">마약류도매업자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31,000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: 35,000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(</t>
    </r>
    <r>
      <rPr>
        <sz val="10"/>
        <rFont val="Noto Sans CJK SC"/>
        <family val="2"/>
      </rPr>
      <t xml:space="preserve">마약류관리자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12,000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 </t>
    </r>
    <r>
      <rPr>
        <sz val="10"/>
        <rFont val="Arial"/>
        <family val="0"/>
        <charset val="1"/>
      </rPr>
      <t xml:space="preserve">: 14,000</t>
    </r>
    <r>
      <rPr>
        <sz val="10"/>
        <rFont val="Noto Sans CJK SC"/>
        <family val="2"/>
      </rPr>
      <t xml:space="preserve">원</t>
    </r>
  </si>
  <si>
    <t xml:space="preserve">매매참가인 신청</t>
  </si>
  <si>
    <t xml:space="preserve">매장등의신고</t>
  </si>
  <si>
    <t xml:space="preserve">수수료없음</t>
  </si>
  <si>
    <r>
      <rPr>
        <sz val="10"/>
        <rFont val="Noto Sans CJK SC"/>
        <family val="2"/>
      </rPr>
      <t xml:space="preserve">면허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 재교부 신청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</si>
  <si>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</si>
  <si>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부자복지시설 변경신고</t>
    </r>
  </si>
  <si>
    <t xml:space="preserve">모유 전동 유축기 무료 대여 지원 신청</t>
  </si>
  <si>
    <t xml:space="preserve">모자보건사업 지침</t>
  </si>
  <si>
    <t xml:space="preserve">무료직업소개사업 신고</t>
  </si>
  <si>
    <r>
      <rPr>
        <sz val="10"/>
        <rFont val="Noto Sans CJK SC"/>
        <family val="2"/>
      </rPr>
      <t xml:space="preserve">무료직업소개사업 신고확인증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유료직업소개사업 등록증 재발급 신청</t>
    </r>
  </si>
  <si>
    <t xml:space="preserve">물놀이형 수경시설 설치운영 변경 신고</t>
  </si>
  <si>
    <t xml:space="preserve">물놀이형 수경시설 설치운영 신고</t>
  </si>
  <si>
    <t xml:space="preserve">물류창고업 등록 및 변경등록</t>
  </si>
  <si>
    <r>
      <rPr>
        <sz val="10"/>
        <rFont val="Noto Sans CJK SC"/>
        <family val="2"/>
      </rPr>
      <t xml:space="preserve">증지대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</si>
  <si>
    <t xml:space="preserve">미숙아 및 선천성이상아 의료비지원 신청서</t>
  </si>
  <si>
    <t xml:space="preserve">미숙아및선천성이상아 의료비지원 신청서</t>
  </si>
  <si>
    <r>
      <rPr>
        <sz val="10"/>
        <rFont val="Noto Sans CJK SC"/>
        <family val="2"/>
      </rPr>
      <t xml:space="preserve">민간임대주택 공급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신고증명서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</si>
  <si>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민간임대주택 양도 신고서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임대주택 매각 신고</t>
    </r>
  </si>
  <si>
    <r>
      <rPr>
        <sz val="10"/>
        <rFont val="Noto Sans CJK SC"/>
        <family val="2"/>
      </rPr>
      <t xml:space="preserve">민방위 교육훈련 유예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면제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</si>
  <si>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t xml:space="preserve">민방위 동원 유예 신청</t>
  </si>
  <si>
    <t xml:space="preserve">민방위 응급조치 손실보상금청구</t>
  </si>
  <si>
    <t xml:space="preserve">민방위대원 부상자 치료신청</t>
  </si>
  <si>
    <r>
      <rPr>
        <sz val="10"/>
        <rFont val="Noto Sans CJK SC"/>
        <family val="2"/>
      </rPr>
      <t xml:space="preserve">민방위대원 사망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자 보상금 지급신청</t>
    </r>
  </si>
  <si>
    <t xml:space="preserve">민방위대편성제외신청</t>
  </si>
  <si>
    <r>
      <rPr>
        <sz val="10"/>
        <rFont val="Noto Sans CJK SC"/>
        <family val="2"/>
      </rPr>
      <t xml:space="preserve">민방위대편입신고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지원</t>
    </r>
    <r>
      <rPr>
        <sz val="10"/>
        <rFont val="Arial"/>
        <family val="0"/>
        <charset val="1"/>
      </rPr>
      <t xml:space="preserve">)</t>
    </r>
  </si>
  <si>
    <t xml:space="preserve">민방위준비명령이행기간 연장신청</t>
  </si>
  <si>
    <r>
      <rPr>
        <sz val="10"/>
        <rFont val="Noto Sans CJK SC"/>
        <family val="2"/>
      </rPr>
      <t xml:space="preserve">민원사무편람</t>
    </r>
    <r>
      <rPr>
        <sz val="10"/>
        <rFont val="Arial"/>
        <family val="0"/>
        <charset val="1"/>
      </rPr>
      <t xml:space="preserve">(2024. 4</t>
    </r>
    <r>
      <rPr>
        <sz val="10"/>
        <rFont val="Noto Sans CJK SC"/>
        <family val="2"/>
      </rPr>
      <t xml:space="preserve">분기 전부서 취합본</t>
    </r>
    <r>
      <rPr>
        <sz val="10"/>
        <rFont val="Arial"/>
        <family val="0"/>
        <charset val="1"/>
      </rPr>
      <t xml:space="preserve">)</t>
    </r>
  </si>
  <si>
    <t xml:space="preserve">시청 민원여권과</t>
  </si>
  <si>
    <r>
      <rPr>
        <sz val="10"/>
        <rFont val="Noto Sans CJK SC"/>
        <family val="2"/>
      </rPr>
      <t xml:space="preserve">민원사무편람</t>
    </r>
    <r>
      <rPr>
        <sz val="10"/>
        <rFont val="Arial"/>
        <family val="0"/>
        <charset val="1"/>
      </rPr>
      <t xml:space="preserve">(2025. 1</t>
    </r>
    <r>
      <rPr>
        <sz val="10"/>
        <rFont val="Noto Sans CJK SC"/>
        <family val="2"/>
      </rPr>
      <t xml:space="preserve">분기 전부서 취합본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</si>
  <si>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민원사무편람</t>
    </r>
    <r>
      <rPr>
        <sz val="10"/>
        <rFont val="Arial"/>
        <family val="0"/>
        <charset val="1"/>
      </rPr>
      <t xml:space="preserve">(2025. 2</t>
    </r>
    <r>
      <rPr>
        <sz val="10"/>
        <rFont val="Noto Sans CJK SC"/>
        <family val="2"/>
      </rPr>
      <t xml:space="preserve">분기 전부서 취합본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</si>
  <si>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민원사무편람</t>
    </r>
    <r>
      <rPr>
        <sz val="10"/>
        <rFont val="Arial"/>
        <family val="0"/>
        <charset val="1"/>
      </rPr>
      <t xml:space="preserve">(2026. 1</t>
    </r>
    <r>
      <rPr>
        <sz val="10"/>
        <rFont val="Noto Sans CJK SC"/>
        <family val="2"/>
      </rPr>
      <t xml:space="preserve">분기 전부서 취합본</t>
    </r>
    <r>
      <rPr>
        <sz val="10"/>
        <rFont val="Arial"/>
        <family val="0"/>
        <charset val="1"/>
      </rPr>
      <t xml:space="preserve">)</t>
    </r>
  </si>
  <si>
    <t xml:space="preserve">발달재활서비스 제공기관 지정신청</t>
  </si>
  <si>
    <t xml:space="preserve">배수설비 설치 신고</t>
  </si>
  <si>
    <t xml:space="preserve">배출부과금 조정신청</t>
  </si>
  <si>
    <t xml:space="preserve">배출부과금 징수유예 및 분납신청</t>
  </si>
  <si>
    <t xml:space="preserve">배출시설 등의 준공검사 신청서</t>
  </si>
  <si>
    <t xml:space="preserve">배출시설 및 방지시설의 가동개시신고</t>
  </si>
  <si>
    <t xml:space="preserve">배출시설설치자 등의 지위승계 신고서</t>
  </si>
  <si>
    <r>
      <rPr>
        <sz val="10"/>
        <rFont val="Noto Sans CJK SC"/>
        <family val="2"/>
      </rPr>
      <t xml:space="preserve">법정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대리인 동의서</t>
    </r>
  </si>
  <si>
    <t xml:space="preserve">보건소 잠복결핵감염 검진 확인서 및 결과서 발급 위임장</t>
  </si>
  <si>
    <r>
      <rPr>
        <sz val="10"/>
        <rFont val="Noto Sans CJK SC"/>
        <family val="2"/>
      </rPr>
      <t xml:space="preserve">보건증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건강진단결과서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대리수령 위임장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단체</t>
    </r>
  </si>
  <si>
    <t xml:space="preserve">동남구보건소 공통</t>
  </si>
  <si>
    <r>
      <rPr>
        <sz val="10"/>
        <rFont val="Noto Sans CJK SC"/>
        <family val="2"/>
      </rPr>
      <t xml:space="preserve">보육료 및 양육수당 지원신청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유형없음</t>
    </r>
  </si>
  <si>
    <t xml:space="preserve">보육시설 변경 인가</t>
  </si>
  <si>
    <t xml:space="preserve">동남구청 주민복지과</t>
  </si>
  <si>
    <t xml:space="preserve">보육시설 인가</t>
  </si>
  <si>
    <r>
      <rPr>
        <sz val="10"/>
        <rFont val="Noto Sans CJK SC"/>
        <family val="2"/>
      </rPr>
      <t xml:space="preserve">보육시설 폐지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재개신고</t>
    </r>
  </si>
  <si>
    <r>
      <rPr>
        <sz val="10"/>
        <rFont val="Noto Sans CJK SC"/>
        <family val="2"/>
      </rPr>
      <t xml:space="preserve">보육시설종사자경력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증명서</t>
    </r>
  </si>
  <si>
    <t xml:space="preserve">보조경매참가자 운영신청</t>
  </si>
  <si>
    <t xml:space="preserve">보청기 지원 신청서</t>
  </si>
  <si>
    <r>
      <rPr>
        <sz val="10"/>
        <rFont val="Noto Sans CJK SC"/>
        <family val="2"/>
      </rPr>
      <t xml:space="preserve">복구설계서승인신청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사유림 및 산림청 소관 이외의 국유림</t>
    </r>
  </si>
  <si>
    <r>
      <rPr>
        <sz val="10"/>
        <rFont val="Noto Sans CJK SC"/>
        <family val="2"/>
      </rPr>
      <t xml:space="preserve">승인신청하려는 산지의 면적이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만㎡이하인 경우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  승인신청하려는 산지의 면적이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만㎡이상인 경우 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만원에 그 초과   면적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천㎡마다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천원을 가산한 금액</t>
    </r>
  </si>
  <si>
    <r>
      <rPr>
        <sz val="10"/>
        <rFont val="Noto Sans CJK SC"/>
        <family val="2"/>
      </rPr>
      <t xml:space="preserve">복구의무면제신청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사유림 및 산림청 소관 이외의 국유림</t>
    </r>
  </si>
  <si>
    <r>
      <rPr>
        <sz val="10"/>
        <rFont val="Noto Sans CJK SC"/>
        <family val="2"/>
      </rPr>
      <t xml:space="preserve">복구준공검사신청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사유림 및 산림청 소관 이외의 국유림</t>
    </r>
  </si>
  <si>
    <r>
      <rPr>
        <sz val="10"/>
        <rFont val="Noto Sans CJK SC"/>
        <family val="2"/>
      </rPr>
      <t xml:space="preserve">복지대상자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해산급여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장제급여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지원신청</t>
    </r>
  </si>
  <si>
    <t xml:space="preserve">시청 복지정책과</t>
  </si>
  <si>
    <r>
      <rPr>
        <sz val="10"/>
        <rFont val="Noto Sans CJK SC"/>
        <family val="2"/>
      </rPr>
      <t xml:space="preserve">복합유통게임제공업 등록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게임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</si>
  <si>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</si>
  <si>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봉안시설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봉안묘ㆍ봉안탑ㆍ봉안담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설치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신고서</t>
    </r>
  </si>
  <si>
    <t xml:space="preserve">부가가치세과세표준증명</t>
  </si>
  <si>
    <t xml:space="preserve">부동산거래계약신고</t>
  </si>
  <si>
    <t xml:space="preserve">부동산등기용 등록번호 부여신청</t>
  </si>
  <si>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</si>
  <si>
    <t xml:space="preserve">부동산등기용 등록사항변경</t>
  </si>
  <si>
    <t xml:space="preserve">부동산등기용 등록증명서 발급신청</t>
  </si>
  <si>
    <r>
      <rPr>
        <sz val="10"/>
        <rFont val="Noto Sans CJK SC"/>
        <family val="2"/>
      </rPr>
      <t xml:space="preserve">통당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전자민원 신청시 면제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</si>
  <si>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부동산중개사무소 개설등록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인장등록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분사무소 설치 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인장등록신고</t>
    </r>
  </si>
  <si>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), 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</si>
  <si>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부동산중개업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재개업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</si>
  <si>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부동산중개업허가증기재사항변경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사무소 이전 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</si>
  <si>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t xml:space="preserve">부속의료기관 개설 신고 및 변경신고</t>
  </si>
  <si>
    <r>
      <rPr>
        <sz val="10"/>
        <rFont val="Noto Sans CJK SC"/>
        <family val="2"/>
      </rPr>
      <t xml:space="preserve">개설신고 </t>
    </r>
    <r>
      <rPr>
        <sz val="10"/>
        <rFont val="Arial"/>
        <family val="0"/>
        <charset val="1"/>
      </rPr>
      <t xml:space="preserve">: 40,000</t>
    </r>
    <r>
      <rPr>
        <sz val="10"/>
        <rFont val="Noto Sans CJK SC"/>
        <family val="2"/>
      </rPr>
      <t xml:space="preserve">원   변경신고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이전신고에 한정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개설신고 </t>
    </r>
    <r>
      <rPr>
        <sz val="10"/>
        <rFont val="Arial"/>
        <family val="0"/>
        <charset val="1"/>
      </rPr>
      <t xml:space="preserve">: 40,000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변경신고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이전신고에 한정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</si>
  <si>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분뇨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운반업 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</si>
  <si>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t xml:space="preserve">분양신고</t>
  </si>
  <si>
    <r>
      <rPr>
        <sz val="10"/>
        <rFont val="Noto Sans CJK SC"/>
        <family val="2"/>
      </rPr>
      <t xml:space="preserve">시청 건축과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시청 공동주택과</t>
    </r>
  </si>
  <si>
    <r>
      <rPr>
        <sz val="10"/>
        <rFont val="Noto Sans CJK SC"/>
        <family val="2"/>
      </rPr>
      <t xml:space="preserve">비디오물 시청제공업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등록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</si>
  <si>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    변경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 변경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</si>
  <si>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비디오물 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변경신고</t>
    </r>
  </si>
  <si>
    <r>
      <rPr>
        <sz val="10"/>
        <rFont val="Noto Sans CJK SC"/>
        <family val="2"/>
      </rPr>
      <t xml:space="preserve">비디오물 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신고</t>
    </r>
  </si>
  <si>
    <r>
      <rPr>
        <sz val="10"/>
        <rFont val="Arial"/>
        <family val="0"/>
        <charset val="1"/>
      </rPr>
      <t xml:space="preserve">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20,000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</si>
  <si>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비디오물제작업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배급업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시청제공업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 재교부</t>
    </r>
  </si>
  <si>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</t>
    </r>
  </si>
  <si>
    <r>
      <rPr>
        <sz val="10"/>
        <rFont val="Noto Sans CJK SC"/>
        <family val="2"/>
      </rPr>
      <t xml:space="preserve">비디오물제작업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배급업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시청제공업 폐업 신고</t>
    </r>
  </si>
  <si>
    <r>
      <rPr>
        <sz val="10"/>
        <rFont val="Noto Sans CJK SC"/>
        <family val="2"/>
      </rPr>
      <t xml:space="preserve">비산먼지 발생사업 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</si>
  <si>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빗물이용시설의 설치신고</t>
  </si>
  <si>
    <t xml:space="preserve">사고마약류 폐기신청</t>
  </si>
  <si>
    <r>
      <rPr>
        <sz val="10"/>
        <rFont val="Noto Sans CJK SC"/>
        <family val="2"/>
      </rPr>
      <t xml:space="preserve">사업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저장소 사용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중단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폐지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신고서</t>
    </r>
  </si>
  <si>
    <r>
      <rPr>
        <sz val="10"/>
        <rFont val="Noto Sans CJK SC"/>
        <family val="2"/>
      </rPr>
      <t xml:space="preserve">사업개시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</t>
    </r>
  </si>
  <si>
    <t xml:space="preserve">사업용자동차 차령조정신청</t>
  </si>
  <si>
    <t xml:space="preserve">사업자등록증명</t>
  </si>
  <si>
    <r>
      <rPr>
        <sz val="10"/>
        <rFont val="Noto Sans CJK SC"/>
        <family val="2"/>
      </rPr>
      <t xml:space="preserve">사업장폐기물 배출자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</si>
  <si>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사업장폐기물 배출자신고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</si>
  <si>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사용검사 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용도변경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증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개축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재축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</si>
  <si>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사용승인신청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건축사업무대행건축물 및 신고대상 건축물</t>
    </r>
  </si>
  <si>
    <r>
      <rPr>
        <sz val="10"/>
        <rFont val="Noto Sans CJK SC"/>
        <family val="2"/>
      </rPr>
      <t xml:space="preserve">사용승인신청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건축사업무대행건축물이외의 건축물</t>
    </r>
  </si>
  <si>
    <r>
      <rPr>
        <sz val="10"/>
        <rFont val="Noto Sans CJK SC"/>
        <family val="2"/>
      </rPr>
      <t xml:space="preserve">사회보장급여 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아동수당</t>
    </r>
  </si>
  <si>
    <r>
      <rPr>
        <sz val="10"/>
        <rFont val="Noto Sans CJK SC"/>
        <family val="2"/>
      </rPr>
      <t xml:space="preserve">사회보장급여 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기초생활보장</t>
    </r>
  </si>
  <si>
    <r>
      <rPr>
        <sz val="10"/>
        <rFont val="Noto Sans CJK SC"/>
        <family val="2"/>
      </rPr>
      <t xml:space="preserve">사회보장급여 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기초생활보장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주거급여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</si>
  <si>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사회보장급여 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한부모가족</t>
    </r>
  </si>
  <si>
    <t xml:space="preserve">사회보장급여 장애인연금 신청</t>
  </si>
  <si>
    <r>
      <rPr>
        <sz val="10"/>
        <rFont val="Noto Sans CJK SC"/>
        <family val="2"/>
      </rPr>
      <t xml:space="preserve">사회서비스 제공자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등록신청 및 등록증 재발급 신청</t>
    </r>
  </si>
  <si>
    <t xml:space="preserve">사회서비스 제공자 폐업 휴업 신고 및 제공자 지위승계 신고</t>
  </si>
  <si>
    <r>
      <rPr>
        <sz val="10"/>
        <rFont val="Noto Sans CJK SC"/>
        <family val="2"/>
      </rPr>
      <t xml:space="preserve">사회서비스 제공자 폐업 휴업 신고 및 제공자 지위승계 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유형없음</t>
    </r>
  </si>
  <si>
    <r>
      <rPr>
        <sz val="10"/>
        <rFont val="Noto Sans CJK SC"/>
        <family val="2"/>
      </rPr>
      <t xml:space="preserve">사회서비스 제공자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등록신청 및 등록증 재발급 신청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사회서비스 제공자 등록사항 변경신청</t>
    </r>
  </si>
  <si>
    <t xml:space="preserve">사후관리 이행신고서</t>
  </si>
  <si>
    <t xml:space="preserve">사후관리이행종료신고서</t>
  </si>
  <si>
    <r>
      <rPr>
        <sz val="10"/>
        <rFont val="Noto Sans CJK SC"/>
        <family val="2"/>
      </rPr>
      <t xml:space="preserve">산림경영계획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인가</t>
    </r>
  </si>
  <si>
    <t xml:space="preserve">공원녹지사업본부 산림휴양과</t>
  </si>
  <si>
    <t xml:space="preserve">산림경영계획사업신고</t>
  </si>
  <si>
    <t xml:space="preserve">산모신생아 건강관리서비스</t>
  </si>
  <si>
    <t xml:space="preserve">산업단지 안에서의 임대신고</t>
  </si>
  <si>
    <r>
      <rPr>
        <sz val="10"/>
        <rFont val="Noto Sans CJK SC"/>
        <family val="2"/>
      </rPr>
      <t xml:space="preserve">산업단지 입주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변경계약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</si>
  <si>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t xml:space="preserve">산업단지내에서 건설중인공장기타의 시설처분신청</t>
  </si>
  <si>
    <t xml:space="preserve">산업시설구역의 산업용지 및 공장 처분신고</t>
  </si>
  <si>
    <t xml:space="preserve">산지유통인 등록</t>
  </si>
  <si>
    <r>
      <rPr>
        <sz val="10"/>
        <rFont val="Noto Sans CJK SC"/>
        <family val="2"/>
      </rPr>
      <t xml:space="preserve">산지일시사용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기간연장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산지일시사용 기간연장신고</t>
    </r>
  </si>
  <si>
    <r>
      <rPr>
        <sz val="10"/>
        <rFont val="Noto Sans CJK SC"/>
        <family val="2"/>
      </rPr>
      <t xml:space="preserve">산지일시사용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기간연장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산지일시사용신고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</si>
  <si>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산지일시사용신고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만㎡이하 </t>
    </r>
    <r>
      <rPr>
        <sz val="10"/>
        <rFont val="Arial"/>
        <family val="0"/>
        <charset val="1"/>
      </rPr>
      <t xml:space="preserve">: 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</t>
    </r>
  </si>
  <si>
    <t xml:space="preserve">산지전용허가 변경신고서</t>
  </si>
  <si>
    <t xml:space="preserve">산후조리도우미 본인부담금 지원사업</t>
  </si>
  <si>
    <r>
      <rPr>
        <sz val="10"/>
        <rFont val="Noto Sans CJK SC"/>
        <family val="2"/>
      </rPr>
      <t xml:space="preserve">산후조리업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</si>
  <si>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상세주소 부여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 업무</t>
    </r>
  </si>
  <si>
    <t xml:space="preserve">생애최초 주택구입 취득세 감면신청서 및 경정 청구서</t>
  </si>
  <si>
    <t xml:space="preserve">동남구청 세무과</t>
  </si>
  <si>
    <t xml:space="preserve">생애최초주택구입취득세감면신청서및경정청구서</t>
  </si>
  <si>
    <t xml:space="preserve">서북구청 세무과</t>
  </si>
  <si>
    <t xml:space="preserve">석면건축물 안전관리인 지정 변경신고</t>
  </si>
  <si>
    <r>
      <rPr>
        <sz val="10"/>
        <rFont val="Noto Sans CJK SC"/>
        <family val="2"/>
      </rPr>
      <t xml:space="preserve">석면해체작업감리인 지정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신고서</t>
    </r>
  </si>
  <si>
    <t xml:space="preserve">석면해체제거 사업장의 석면비산 측정 결과보고서</t>
  </si>
  <si>
    <r>
      <rPr>
        <sz val="10"/>
        <rFont val="Noto Sans CJK SC"/>
        <family val="2"/>
      </rPr>
      <t xml:space="preserve">석유판매업 개시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 신고</t>
    </r>
  </si>
  <si>
    <t xml:space="preserve">석유판매업 변경등록 및 변경신고</t>
  </si>
  <si>
    <r>
      <rPr>
        <sz val="10"/>
        <rFont val="Noto Sans CJK SC"/>
        <family val="2"/>
      </rPr>
      <t xml:space="preserve">석유판매업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일반판매소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항공유판매업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특수판매소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</si>
  <si>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천안시 제증명 등 수수료 징수 조례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</si>
  <si>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석유판매업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일반판매소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항공유판매업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특수판매소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</si>
  <si>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석유판매업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주유소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조건부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등록 신청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</si>
  <si>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천안시 제증명 등 수수료 징수 조례</t>
    </r>
    <r>
      <rPr>
        <sz val="10"/>
        <rFont val="Arial"/>
        <family val="0"/>
        <charset val="1"/>
      </rPr>
      <t xml:space="preserve">)</t>
    </r>
  </si>
  <si>
    <t xml:space="preserve">선천성 난청검사 및 보청기 지원 신청서</t>
  </si>
  <si>
    <t xml:space="preserve">선천성대사이상 검사 및 환아관리 지원</t>
  </si>
  <si>
    <r>
      <rPr>
        <sz val="10"/>
        <rFont val="Noto Sans CJK SC"/>
        <family val="2"/>
      </rPr>
      <t xml:space="preserve">성매매피해자 지원시설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자활센터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상담소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운영재개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</si>
  <si>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t xml:space="preserve">성폭력 전담의료기관 지정 신청</t>
  </si>
  <si>
    <r>
      <rPr>
        <sz val="10"/>
        <rFont val="Noto Sans CJK SC"/>
        <family val="2"/>
      </rPr>
      <t xml:space="preserve">성폭력피해상담소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변경신고</t>
    </r>
  </si>
  <si>
    <r>
      <rPr>
        <sz val="10"/>
        <rFont val="Noto Sans CJK SC"/>
        <family val="2"/>
      </rPr>
      <t xml:space="preserve">성폭력피해상담소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보호시설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교육훈련시설 폐지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운영재개 신고</t>
    </r>
  </si>
  <si>
    <t xml:space="preserve">세목별과세증명신청</t>
  </si>
  <si>
    <r>
      <rPr>
        <sz val="10"/>
        <rFont val="Noto Sans CJK SC"/>
        <family val="2"/>
      </rPr>
      <t xml:space="preserve">세목별과세증명신청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미과세</t>
    </r>
  </si>
  <si>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발급 시 무료</t>
    </r>
  </si>
  <si>
    <t xml:space="preserve">소독업 신고</t>
  </si>
  <si>
    <t xml:space="preserve">소독업 신고사항 변경신청</t>
  </si>
  <si>
    <r>
      <rPr>
        <sz val="10"/>
        <rFont val="Noto Sans CJK SC"/>
        <family val="2"/>
      </rPr>
      <t xml:space="preserve">소독업 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재개업 신고</t>
    </r>
  </si>
  <si>
    <t xml:space="preserve">소득금액증명</t>
  </si>
  <si>
    <t xml:space="preserve">소득확인증명</t>
  </si>
  <si>
    <r>
      <rPr>
        <sz val="10"/>
        <rFont val="Noto Sans CJK SC"/>
        <family val="2"/>
      </rPr>
      <t xml:space="preserve">소속공인중개사 또는 중개보조원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고용 및 고용관계종료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 및 소속공인중개사 인장등록</t>
    </r>
  </si>
  <si>
    <r>
      <rPr>
        <sz val="10"/>
        <rFont val="Noto Sans CJK SC"/>
        <family val="2"/>
      </rPr>
      <t xml:space="preserve">소속증명서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</si>
  <si>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 배출시설 변경신고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시설변경</t>
    </r>
  </si>
  <si>
    <r>
      <rPr>
        <sz val="10"/>
        <rFont val="Noto Sans CJK SC"/>
        <family val="2"/>
      </rPr>
      <t xml:space="preserve">소음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 배출시설 설치신고</t>
    </r>
  </si>
  <si>
    <r>
      <rPr>
        <sz val="10"/>
        <rFont val="Noto Sans CJK SC"/>
        <family val="2"/>
      </rPr>
      <t xml:space="preserve">소음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 배출시설 설치허가</t>
    </r>
  </si>
  <si>
    <r>
      <rPr>
        <sz val="10"/>
        <rFont val="Noto Sans CJK SC"/>
        <family val="2"/>
      </rPr>
      <t xml:space="preserve">소음ㆍ진동 배출시설 변경신고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사업장 명칭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대표자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전부폐쇄</t>
    </r>
    <r>
      <rPr>
        <sz val="10"/>
        <rFont val="Arial"/>
        <family val="0"/>
        <charset val="1"/>
      </rPr>
      <t xml:space="preserve">)</t>
    </r>
  </si>
  <si>
    <t xml:space="preserve">소하천공사시행허가</t>
  </si>
  <si>
    <t xml:space="preserve">수도요금 가구분할 신청서</t>
  </si>
  <si>
    <t xml:space="preserve">수도요금 누수감면 신청서</t>
  </si>
  <si>
    <t xml:space="preserve">수도요금 다자녀가구 감면 신청서</t>
  </si>
  <si>
    <r>
      <rPr>
        <sz val="10"/>
        <rFont val="Noto Sans CJK SC"/>
        <family val="2"/>
      </rPr>
      <t xml:space="preserve">수도요금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전자우편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휴대전화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고지신청서</t>
    </r>
  </si>
  <si>
    <t xml:space="preserve">수렵면허 갱신 신청서</t>
  </si>
  <si>
    <t xml:space="preserve">수질검사 신청</t>
  </si>
  <si>
    <t xml:space="preserve">국립환경과학원 시험의뢰규칙 준용</t>
  </si>
  <si>
    <t xml:space="preserve">수질검사성적서 재교부 신청서</t>
  </si>
  <si>
    <t xml:space="preserve">수처리제 제조업 등록</t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</si>
  <si>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30,000</t>
    </r>
    <r>
      <rPr>
        <sz val="10"/>
        <rFont val="Noto Sans CJK SC"/>
        <family val="2"/>
      </rPr>
      <t xml:space="preserve">원</t>
    </r>
  </si>
  <si>
    <t xml:space="preserve">숙박형등 청소년수련활동 계획의 신고</t>
  </si>
  <si>
    <t xml:space="preserve">시청 교육청소년과</t>
  </si>
  <si>
    <t xml:space="preserve">순환골재 및 순환골재 재활용제품 사용계획서</t>
  </si>
  <si>
    <t xml:space="preserve">시ㆍ도간 자동차 변경등록 신청서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</si>
  <si>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수입증지 </t>
    </r>
    <r>
      <rPr>
        <sz val="10"/>
        <rFont val="Arial"/>
        <family val="0"/>
        <charset val="1"/>
      </rPr>
      <t xml:space="preserve">: 1,300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동일 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도간 변경은 무료</t>
    </r>
    <r>
      <rPr>
        <sz val="10"/>
        <rFont val="Arial"/>
        <family val="0"/>
        <charset val="1"/>
      </rPr>
      <t xml:space="preserve">),  - </t>
    </r>
    <r>
      <rPr>
        <sz val="10"/>
        <rFont val="Noto Sans CJK SC"/>
        <family val="2"/>
      </rPr>
      <t xml:space="preserve">등록면허세 </t>
    </r>
    <r>
      <rPr>
        <sz val="10"/>
        <rFont val="Arial"/>
        <family val="0"/>
        <charset val="1"/>
      </rPr>
      <t xml:space="preserve">: 15,000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- </t>
    </r>
    <r>
      <rPr>
        <sz val="10"/>
        <rFont val="Noto Sans CJK SC"/>
        <family val="2"/>
      </rPr>
      <t xml:space="preserve">등록번호판 발급 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번호판별로 상이</t>
    </r>
    <r>
      <rPr>
        <sz val="10"/>
        <rFont val="Arial"/>
        <family val="0"/>
        <charset val="1"/>
      </rPr>
      <t xml:space="preserve">)</t>
    </r>
  </si>
  <si>
    <t xml:space="preserve">시설출입차량 등록 말소 신청</t>
  </si>
  <si>
    <t xml:space="preserve">시설출입차량 등록변경 신청</t>
  </si>
  <si>
    <t xml:space="preserve">식육즉석판매가공업영업신고</t>
  </si>
  <si>
    <t xml:space="preserve">식육즉석판매가공업영업자지위승계신고</t>
  </si>
  <si>
    <r>
      <rPr>
        <sz val="10"/>
        <rFont val="Noto Sans CJK SC"/>
        <family val="2"/>
      </rPr>
      <t xml:space="preserve">동남구청 자치행정과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산업교통과</t>
    </r>
  </si>
  <si>
    <r>
      <rPr>
        <sz val="10"/>
        <rFont val="Noto Sans CJK SC"/>
        <family val="2"/>
      </rPr>
      <t xml:space="preserve">식육포장처리업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축산물보관업 영업 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 신고</t>
    </r>
  </si>
  <si>
    <r>
      <rPr>
        <sz val="10"/>
        <rFont val="Noto Sans CJK SC"/>
        <family val="2"/>
      </rPr>
      <t xml:space="preserve">식육포장처리업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축산물보관업 영업자 지위승계 신고</t>
    </r>
  </si>
  <si>
    <r>
      <rPr>
        <sz val="10"/>
        <rFont val="Noto Sans CJK SC"/>
        <family val="2"/>
      </rPr>
      <t xml:space="preserve">식육포장처리업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축산물보관업 영업허가의 변경 허가신청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</si>
  <si>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t xml:space="preserve">식품 영업신고사항 변경신고</t>
  </si>
  <si>
    <r>
      <rPr>
        <sz val="10"/>
        <rFont val="Noto Sans CJK SC"/>
        <family val="2"/>
      </rPr>
      <t xml:space="preserve">소재지 변경 </t>
    </r>
    <r>
      <rPr>
        <sz val="10"/>
        <rFont val="Arial"/>
        <family val="0"/>
        <charset val="1"/>
      </rPr>
      <t xml:space="preserve">: 26,500</t>
    </r>
    <r>
      <rPr>
        <sz val="10"/>
        <rFont val="Noto Sans CJK SC"/>
        <family val="2"/>
      </rPr>
      <t xml:space="preserve">원   소재지 외 변경 </t>
    </r>
    <r>
      <rPr>
        <sz val="10"/>
        <rFont val="Arial"/>
        <family val="0"/>
        <charset val="1"/>
      </rPr>
      <t xml:space="preserve">: 9,300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소재지 변경 </t>
    </r>
    <r>
      <rPr>
        <sz val="10"/>
        <rFont val="Arial"/>
        <family val="0"/>
        <charset val="1"/>
      </rPr>
      <t xml:space="preserve">: 26,500</t>
    </r>
    <r>
      <rPr>
        <sz val="10"/>
        <rFont val="Noto Sans CJK SC"/>
        <family val="2"/>
      </rPr>
      <t xml:space="preserve">원 소재지 외 변경 </t>
    </r>
    <r>
      <rPr>
        <sz val="10"/>
        <rFont val="Arial"/>
        <family val="0"/>
        <charset val="1"/>
      </rPr>
      <t xml:space="preserve">: 9,300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</si>
  <si>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식품 영업허가사항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허가신청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</si>
  <si>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소재지 변경 </t>
    </r>
    <r>
      <rPr>
        <sz val="10"/>
        <rFont val="Arial"/>
        <family val="0"/>
        <charset val="1"/>
      </rPr>
      <t xml:space="preserve">: 26,500</t>
    </r>
    <r>
      <rPr>
        <sz val="10"/>
        <rFont val="Noto Sans CJK SC"/>
        <family val="2"/>
      </rPr>
      <t xml:space="preserve">원     소재지 외 변경 </t>
    </r>
    <r>
      <rPr>
        <sz val="10"/>
        <rFont val="Arial"/>
        <family val="0"/>
        <charset val="1"/>
      </rPr>
      <t xml:space="preserve">: 9,300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소재지 변경 </t>
    </r>
    <r>
      <rPr>
        <sz val="10"/>
        <rFont val="Arial"/>
        <family val="0"/>
        <charset val="1"/>
      </rPr>
      <t xml:space="preserve">: 26,500</t>
    </r>
    <r>
      <rPr>
        <sz val="10"/>
        <rFont val="Noto Sans CJK SC"/>
        <family val="2"/>
      </rPr>
      <t xml:space="preserve">원 소재지 외 변경 </t>
    </r>
    <r>
      <rPr>
        <sz val="10"/>
        <rFont val="Arial"/>
        <family val="0"/>
        <charset val="1"/>
      </rPr>
      <t xml:space="preserve">: 9,300</t>
    </r>
    <r>
      <rPr>
        <sz val="10"/>
        <rFont val="Noto Sans CJK SC"/>
        <family val="2"/>
      </rPr>
      <t xml:space="preserve">원</t>
    </r>
  </si>
  <si>
    <t xml:space="preserve">식품관련영업신고</t>
  </si>
  <si>
    <r>
      <rPr>
        <sz val="10"/>
        <rFont val="Noto Sans CJK SC"/>
        <family val="2"/>
      </rPr>
      <t xml:space="preserve">식품관련영업신고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즉석판매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제조가공업 한시적 영업신고의 경우</t>
    </r>
  </si>
  <si>
    <t xml:space="preserve">식품관련영업신고사항변경</t>
  </si>
  <si>
    <r>
      <rPr>
        <sz val="10"/>
        <rFont val="Noto Sans CJK SC"/>
        <family val="2"/>
      </rPr>
      <t xml:space="preserve">소재지변경</t>
    </r>
    <r>
      <rPr>
        <sz val="10"/>
        <rFont val="Arial"/>
        <family val="0"/>
        <charset val="1"/>
      </rPr>
      <t xml:space="preserve">-26,500</t>
    </r>
    <r>
      <rPr>
        <sz val="10"/>
        <rFont val="Noto Sans CJK SC"/>
        <family val="2"/>
      </rPr>
      <t xml:space="preserve">원 그 외변경</t>
    </r>
    <r>
      <rPr>
        <sz val="10"/>
        <rFont val="Arial"/>
        <family val="0"/>
        <charset val="1"/>
      </rPr>
      <t xml:space="preserve">-9,300</t>
    </r>
    <r>
      <rPr>
        <sz val="10"/>
        <rFont val="Noto Sans CJK SC"/>
        <family val="2"/>
      </rPr>
      <t xml:space="preserve">원</t>
    </r>
  </si>
  <si>
    <t xml:space="preserve">식품관련영업폐업신고</t>
  </si>
  <si>
    <r>
      <rPr>
        <sz val="10"/>
        <rFont val="Noto Sans CJK SC"/>
        <family val="2"/>
      </rPr>
      <t xml:space="preserve">동남구청 환경위생과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환경위생과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시청 식품안전과</t>
    </r>
  </si>
  <si>
    <r>
      <rPr>
        <sz val="10"/>
        <rFont val="Noto Sans CJK SC"/>
        <family val="2"/>
      </rPr>
      <t xml:space="preserve">식품영업 등록사항 변경등록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</si>
  <si>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소재지변경</t>
    </r>
    <r>
      <rPr>
        <sz val="10"/>
        <rFont val="Arial"/>
        <family val="0"/>
        <charset val="1"/>
      </rPr>
      <t xml:space="preserve">-26,500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외변경</t>
    </r>
    <r>
      <rPr>
        <sz val="10"/>
        <rFont val="Arial"/>
        <family val="0"/>
        <charset val="1"/>
      </rPr>
      <t xml:space="preserve">-9,300</t>
    </r>
    <r>
      <rPr>
        <sz val="10"/>
        <rFont val="Noto Sans CJK SC"/>
        <family val="2"/>
      </rPr>
      <t xml:space="preserve">원</t>
    </r>
  </si>
  <si>
    <t xml:space="preserve">식품영업등록 신청</t>
  </si>
  <si>
    <t xml:space="preserve">식품영업신고</t>
  </si>
  <si>
    <r>
      <rPr>
        <sz val="10"/>
        <rFont val="Noto Sans CJK SC"/>
        <family val="2"/>
      </rPr>
      <t xml:space="preserve">식품영업신고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음식판매자동차영업소재지추가</t>
    </r>
  </si>
  <si>
    <t xml:space="preserve">식품영업자 지위승계신고</t>
  </si>
  <si>
    <t xml:space="preserve">식품영업자지위승계신고</t>
  </si>
  <si>
    <t xml:space="preserve">식품영업허가신청</t>
  </si>
  <si>
    <t xml:space="preserve">신생아 청각검사비 신청서</t>
  </si>
  <si>
    <t xml:space="preserve">아동보호 신청</t>
  </si>
  <si>
    <r>
      <rPr>
        <sz val="10"/>
        <rFont val="Noto Sans CJK SC"/>
        <family val="2"/>
      </rPr>
      <t xml:space="preserve">동남구청 주민복지과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시청 아동보육과</t>
    </r>
  </si>
  <si>
    <t xml:space="preserve">아동복지시설명칭등변경신고</t>
  </si>
  <si>
    <t xml:space="preserve">아동복지시설명칭등의변경신고</t>
  </si>
  <si>
    <t xml:space="preserve">아우내 실내체육관 대관 신청</t>
  </si>
  <si>
    <t xml:space="preserve">안경업소 개설 등록</t>
  </si>
  <si>
    <t xml:space="preserve">안경업소 양도 양수 신고</t>
  </si>
  <si>
    <r>
      <rPr>
        <sz val="10"/>
        <rFont val="Noto Sans CJK SC"/>
        <family val="2"/>
      </rPr>
      <t xml:space="preserve">안전관리자 선임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퇴직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액화석유가스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</si>
  <si>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안전관리자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선임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해임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퇴직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</si>
  <si>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안전관리책임자 선임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및 방사선관계종사자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</si>
  <si>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안전관리책임자 선임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및 방사선관계종사자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</si>
  <si>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안전관리책임자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선임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퇴직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</si>
  <si>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안전상비의약품 판매자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변경등록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</si>
  <si>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변경등록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</t>
    </r>
  </si>
  <si>
    <t xml:space="preserve">안전상비의약품 판매자의 지위 승계 신고</t>
  </si>
  <si>
    <r>
      <rPr>
        <sz val="10"/>
        <rFont val="Noto Sans CJK SC"/>
        <family val="2"/>
      </rPr>
      <t xml:space="preserve">액화석유가스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충전사업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가스용품 제조사업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허가증 재발급신청서</t>
    </r>
  </si>
  <si>
    <t xml:space="preserve">액화석유가스 사업자등 지위승계 신고</t>
  </si>
  <si>
    <t xml:space="preserve">액화석유가스 사업자등 지위승계 신고서</t>
  </si>
  <si>
    <t xml:space="preserve">액화석유가스 충전사업 변경신고서</t>
  </si>
  <si>
    <t xml:space="preserve">액화석유가스 충전사업 변경허가 신청서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</si>
  <si>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</si>
  <si>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액화석유가스 충전사업 영업소 설치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변경허가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</si>
  <si>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t xml:space="preserve">액화석유가스 충전사업 영업소 설치 변경 신고서</t>
  </si>
  <si>
    <t xml:space="preserve">액화석유가스 충전사업 영업소 설치 허가증 재발급신청서</t>
  </si>
  <si>
    <t xml:space="preserve">액화석유가스 충전사업 허가 신청서</t>
  </si>
  <si>
    <r>
      <rPr>
        <sz val="10"/>
        <rFont val="Noto Sans CJK SC"/>
        <family val="2"/>
      </rPr>
      <t xml:space="preserve">허가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</si>
  <si>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액화석유가스 충전사업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집단공급사업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판매사업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저장소 설치 변경 신고</t>
    </r>
  </si>
  <si>
    <r>
      <rPr>
        <sz val="10"/>
        <rFont val="Noto Sans CJK SC"/>
        <family val="2"/>
      </rPr>
      <t xml:space="preserve">액화석유가스 충전사업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집단공급사업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판매사업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저장소 설치 변경허가</t>
    </r>
  </si>
  <si>
    <r>
      <rPr>
        <sz val="10"/>
        <rFont val="Noto Sans CJK SC"/>
        <family val="2"/>
      </rPr>
      <t xml:space="preserve">액화석유가스 충전사업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집단공급사업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판매사업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저장소 설치 허가</t>
    </r>
  </si>
  <si>
    <r>
      <rPr>
        <sz val="10"/>
        <rFont val="Noto Sans CJK SC"/>
        <family val="2"/>
      </rPr>
      <t xml:space="preserve">충전사업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집단공급사업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판매사업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저장소 설치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</si>
  <si>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액화석유가스사업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저장소 사용 개시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재개 신고</t>
    </r>
  </si>
  <si>
    <t xml:space="preserve">약국 폐업등의 신고</t>
  </si>
  <si>
    <r>
      <rPr>
        <sz val="10"/>
        <rFont val="Noto Sans CJK SC"/>
        <family val="2"/>
      </rPr>
      <t xml:space="preserve">약국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안전상비의약품판매업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의약품판매업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허가증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재발급</t>
    </r>
  </si>
  <si>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</si>
  <si>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약국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안전상비의약품판매업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의약품판매업 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업무재개 신고</t>
    </r>
  </si>
  <si>
    <t xml:space="preserve">약국개설 등록</t>
  </si>
  <si>
    <t xml:space="preserve">약국개설자의 지위 승계 신고</t>
  </si>
  <si>
    <t xml:space="preserve">약국등록사항 변경신청</t>
  </si>
  <si>
    <r>
      <rPr>
        <sz val="10"/>
        <rFont val="Noto Sans CJK SC"/>
        <family val="2"/>
      </rPr>
      <t xml:space="preserve">약국제제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조제실제제 제조품목신고</t>
    </r>
  </si>
  <si>
    <t xml:space="preserve">양도소득에 대한 개인지방소득세 과세표준 신고 및 납부계산서</t>
  </si>
  <si>
    <t xml:space="preserve">어린이집 변경인가</t>
  </si>
  <si>
    <t xml:space="preserve">어린이집 신규인가</t>
  </si>
  <si>
    <t xml:space="preserve">어린이집 휴폐지 및 재개</t>
  </si>
  <si>
    <r>
      <rPr>
        <sz val="10"/>
        <rFont val="Noto Sans CJK SC"/>
        <family val="2"/>
      </rPr>
      <t xml:space="preserve">여객자동차운송사업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자동차대여사업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양도양수신고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시외고속버스이외</t>
    </r>
  </si>
  <si>
    <r>
      <rPr>
        <sz val="10"/>
        <rFont val="Noto Sans CJK SC"/>
        <family val="2"/>
      </rPr>
      <t xml:space="preserve">여객자동차운송사업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자동차대여사업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휴업 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 신고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</si>
  <si>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1,400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</si>
  <si>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여객자동차운송사업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자동차대여사업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휴지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폐지허가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시외고속버스 이외</t>
    </r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</si>
  <si>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14,000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(</t>
    </r>
    <r>
      <rPr>
        <sz val="10"/>
        <rFont val="Noto Sans CJK SC"/>
        <family val="2"/>
      </rPr>
      <t xml:space="preserve">총 차량 대수</t>
    </r>
    <r>
      <rPr>
        <sz val="10"/>
        <rFont val="Arial"/>
        <family val="0"/>
        <charset val="1"/>
      </rPr>
      <t xml:space="preserve">-1)×2,000</t>
    </r>
    <r>
      <rPr>
        <sz val="10"/>
        <rFont val="Noto Sans CJK SC"/>
        <family val="2"/>
      </rPr>
      <t xml:space="preserve">원 추가</t>
    </r>
  </si>
  <si>
    <t xml:space="preserve">여객자동차운송사업개시 등 신고</t>
  </si>
  <si>
    <r>
      <rPr>
        <sz val="10"/>
        <rFont val="Noto Sans CJK SC"/>
        <family val="2"/>
      </rPr>
      <t xml:space="preserve">여객자동차운송사업운송약관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자동차대여사업대여 약관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</si>
  <si>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여객자동차운수사업계획 변경 인가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시외고속버스이외</t>
    </r>
  </si>
  <si>
    <r>
      <rPr>
        <sz val="10"/>
        <rFont val="Noto Sans CJK SC"/>
        <family val="2"/>
      </rPr>
      <t xml:space="preserve">증차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</t>
    </r>
    <r>
      <rPr>
        <sz val="10"/>
        <rFont val="Arial"/>
        <family val="0"/>
        <charset val="1"/>
      </rPr>
      <t xml:space="preserve">):5000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자동차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추가시</t>
    </r>
    <r>
      <rPr>
        <sz val="10"/>
        <rFont val="Arial"/>
        <family val="0"/>
        <charset val="1"/>
      </rPr>
      <t xml:space="preserve">):2000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운행시간</t>
    </r>
    <r>
      <rPr>
        <sz val="10"/>
        <rFont val="Arial"/>
        <family val="0"/>
        <charset val="1"/>
      </rPr>
      <t xml:space="preserve">:1400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:2000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</t>
    </r>
  </si>
  <si>
    <t xml:space="preserve">연합 민방위대 조직 신청</t>
  </si>
  <si>
    <t xml:space="preserve">영업신고증 재교부 신청</t>
  </si>
  <si>
    <r>
      <rPr>
        <sz val="10"/>
        <rFont val="Noto Sans CJK SC"/>
        <family val="2"/>
      </rPr>
      <t xml:space="preserve">영업양수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지위승계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신고서</t>
    </r>
  </si>
  <si>
    <r>
      <rPr>
        <sz val="10"/>
        <rFont val="Noto Sans CJK SC"/>
        <family val="2"/>
      </rPr>
      <t xml:space="preserve">영화상영관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등록</t>
    </r>
  </si>
  <si>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   변경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</si>
  <si>
    <t xml:space="preserve">영화상영관 등록증 재교부</t>
  </si>
  <si>
    <r>
      <rPr>
        <sz val="10"/>
        <rFont val="Noto Sans CJK SC"/>
        <family val="2"/>
      </rPr>
      <t xml:space="preserve">영화업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</si>
  <si>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신고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   변경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신고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  변경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</si>
  <si>
    <t xml:space="preserve">영화업 신고증 재교부</t>
  </si>
  <si>
    <t xml:space="preserve">영화업 폐업신고</t>
  </si>
  <si>
    <t xml:space="preserve">예방접종피해 진료비 및 정액간병비 신청</t>
  </si>
  <si>
    <t xml:space="preserve">오수처리시설 및 정화조 폐쇄신고</t>
  </si>
  <si>
    <t xml:space="preserve">오수처리시설 사용시작 예정일 통보</t>
  </si>
  <si>
    <r>
      <rPr>
        <sz val="10"/>
        <rFont val="Noto Sans CJK SC"/>
        <family val="2"/>
      </rPr>
      <t xml:space="preserve">오수처리시설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단독정화조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개선완료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개선명령이행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보고</t>
    </r>
  </si>
  <si>
    <r>
      <rPr>
        <sz val="10"/>
        <rFont val="Noto Sans CJK SC"/>
        <family val="2"/>
      </rPr>
      <t xml:space="preserve">오수처리시설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정화조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설치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</si>
  <si>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오수처리시설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정화조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준공검사 신청</t>
    </r>
  </si>
  <si>
    <r>
      <rPr>
        <sz val="10"/>
        <rFont val="Noto Sans CJK SC"/>
        <family val="2"/>
      </rPr>
      <t xml:space="preserve">오염 토양정화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계획서 제출</t>
    </r>
  </si>
  <si>
    <t xml:space="preserve">옥외광고물 간판표시계획서</t>
  </si>
  <si>
    <t xml:space="preserve">옥외광고물 등의 표시기간 연장신고</t>
  </si>
  <si>
    <r>
      <rPr>
        <sz val="10"/>
        <rFont val="Noto Sans CJK SC"/>
        <family val="2"/>
      </rPr>
      <t xml:space="preserve">천안시 옥외광고물 등의 관리와 옥외광고산업 진흥에 관한 조례 별표</t>
    </r>
    <r>
      <rPr>
        <sz val="10"/>
        <rFont val="Arial"/>
        <family val="0"/>
        <charset val="1"/>
      </rPr>
      <t xml:space="preserve">3</t>
    </r>
  </si>
  <si>
    <t xml:space="preserve">옥외광고물 등의 표시기간 연장허가</t>
  </si>
  <si>
    <r>
      <rPr>
        <sz val="10"/>
        <rFont val="Noto Sans CJK SC"/>
        <family val="2"/>
      </rPr>
      <t xml:space="preserve">천안시 옥외광고물 등의 관리와 옥외광고산업 진흥에 관한 조례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별표</t>
    </r>
    <r>
      <rPr>
        <sz val="10"/>
        <rFont val="Arial"/>
        <family val="0"/>
        <charset val="1"/>
      </rPr>
      <t xml:space="preserve">3)</t>
    </r>
  </si>
  <si>
    <t xml:space="preserve">옥외광고물 등의 표시신고</t>
  </si>
  <si>
    <t xml:space="preserve">옥외광고물 등의 표시허가</t>
  </si>
  <si>
    <r>
      <rPr>
        <sz val="10"/>
        <rFont val="Noto Sans CJK SC"/>
        <family val="2"/>
      </rPr>
      <t xml:space="preserve">옥외광고물 등의 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사항 변경허가</t>
    </r>
  </si>
  <si>
    <t xml:space="preserve">옥외광고심의위원회 심의신청</t>
  </si>
  <si>
    <t xml:space="preserve">옥외광고업 등록증 재교부 신청</t>
  </si>
  <si>
    <t xml:space="preserve">옥외광고업 변경 등록</t>
  </si>
  <si>
    <r>
      <rPr>
        <sz val="10"/>
        <rFont val="Noto Sans CJK SC"/>
        <family val="2"/>
      </rPr>
      <t xml:space="preserve">천안시 옥외광고물 등의 관리와 옥외광고산업 진흥에 관한 조례 별표</t>
    </r>
    <r>
      <rPr>
        <sz val="10"/>
        <rFont val="Arial"/>
        <family val="0"/>
        <charset val="1"/>
      </rPr>
      <t xml:space="preserve">5</t>
    </r>
  </si>
  <si>
    <t xml:space="preserve">옥외광고업 신규 등록</t>
  </si>
  <si>
    <t xml:space="preserve">옥외광고업 폐업 신고</t>
  </si>
  <si>
    <t xml:space="preserve">용도변경사용승인</t>
  </si>
  <si>
    <t xml:space="preserve">운반업영업신고</t>
  </si>
  <si>
    <t xml:space="preserve">운반업영업신고사항변경신고</t>
  </si>
  <si>
    <r>
      <rPr>
        <sz val="10"/>
        <rFont val="Noto Sans CJK SC"/>
        <family val="2"/>
      </rPr>
      <t xml:space="preserve">운송사업 운송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약관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주선</t>
    </r>
    <r>
      <rPr>
        <sz val="10"/>
        <rFont val="Arial"/>
        <family val="0"/>
        <charset val="1"/>
      </rPr>
      <t xml:space="preserve">)</t>
    </r>
  </si>
  <si>
    <t xml:space="preserve">위생용품 영업자승계신고</t>
  </si>
  <si>
    <r>
      <rPr>
        <sz val="10"/>
        <rFont val="Arial"/>
        <family val="0"/>
        <charset val="1"/>
      </rPr>
      <t xml:space="preserve">9,000</t>
    </r>
    <r>
      <rPr>
        <sz val="10"/>
        <rFont val="Noto Sans CJK SC"/>
        <family val="2"/>
      </rPr>
      <t xml:space="preserve">원</t>
    </r>
  </si>
  <si>
    <t xml:space="preserve">위생용품영업신고사항 변경신고서</t>
  </si>
  <si>
    <r>
      <rPr>
        <sz val="10"/>
        <rFont val="Noto Sans CJK SC"/>
        <family val="2"/>
      </rPr>
      <t xml:space="preserve">소재지변경</t>
    </r>
    <r>
      <rPr>
        <sz val="10"/>
        <rFont val="Arial"/>
        <family val="0"/>
        <charset val="1"/>
      </rPr>
      <t xml:space="preserve">:20,000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외변경 </t>
    </r>
    <r>
      <rPr>
        <sz val="10"/>
        <rFont val="Arial"/>
        <family val="0"/>
        <charset val="1"/>
      </rPr>
      <t xml:space="preserve">: 9,000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</si>
  <si>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위생용품제조관련 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폐업신고</t>
    </r>
  </si>
  <si>
    <t xml:space="preserve">위생용품제조업 등 영업신고</t>
  </si>
  <si>
    <t xml:space="preserve">위임장</t>
  </si>
  <si>
    <t xml:space="preserve">위임장 양식</t>
  </si>
  <si>
    <t xml:space="preserve">유원시설업 허가사항 변경신청서</t>
  </si>
  <si>
    <t xml:space="preserve">유원시설업 허가신청서</t>
  </si>
  <si>
    <r>
      <rPr>
        <sz val="10"/>
        <rFont val="Noto Sans CJK SC"/>
        <family val="2"/>
      </rPr>
      <t xml:space="preserve">일반유원시설업 </t>
    </r>
    <r>
      <rPr>
        <sz val="10"/>
        <rFont val="Arial"/>
        <family val="0"/>
        <charset val="1"/>
      </rPr>
      <t xml:space="preserve">: 50,000</t>
    </r>
    <r>
      <rPr>
        <sz val="10"/>
        <rFont val="Noto Sans CJK SC"/>
        <family val="2"/>
      </rPr>
      <t xml:space="preserve">원       기타유원시설업 </t>
    </r>
    <r>
      <rPr>
        <sz val="10"/>
        <rFont val="Arial"/>
        <family val="0"/>
        <charset val="1"/>
      </rPr>
      <t xml:space="preserve">: 30,000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</si>
  <si>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유해야생동물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유해조수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포획허가 신청서</t>
    </r>
  </si>
  <si>
    <r>
      <rPr>
        <sz val="10"/>
        <rFont val="Noto Sans CJK SC"/>
        <family val="2"/>
      </rPr>
      <t xml:space="preserve">음반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음악영상물제작업 신고</t>
    </r>
  </si>
  <si>
    <t xml:space="preserve">서북구청 자치행정과</t>
  </si>
  <si>
    <r>
      <rPr>
        <sz val="10"/>
        <rFont val="Noto Sans CJK SC"/>
        <family val="2"/>
      </rPr>
      <t xml:space="preserve">음반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음악영상물 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변경신고</t>
    </r>
  </si>
  <si>
    <r>
      <rPr>
        <sz val="10"/>
        <rFont val="Noto Sans CJK SC"/>
        <family val="2"/>
      </rPr>
      <t xml:space="preserve">음반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음악영상물배급업 신고</t>
    </r>
  </si>
  <si>
    <r>
      <rPr>
        <sz val="10"/>
        <rFont val="Noto Sans CJK SC"/>
        <family val="2"/>
      </rPr>
      <t xml:space="preserve">음반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음악영상물제작업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음악영상물배급업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온라인음악서비스제공업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노래연습장업 폐업신고</t>
    </r>
  </si>
  <si>
    <t xml:space="preserve">응급장비 설치 신고</t>
  </si>
  <si>
    <r>
      <rPr>
        <sz val="10"/>
        <rFont val="Noto Sans CJK SC"/>
        <family val="2"/>
      </rPr>
      <t xml:space="preserve">응급장비 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이전 신고</t>
    </r>
  </si>
  <si>
    <t xml:space="preserve">의료급여 장애인보조기기 구입비용 지급청구</t>
  </si>
  <si>
    <t xml:space="preserve">의료기관 개설 신고 및 신고사항 변경신고</t>
  </si>
  <si>
    <r>
      <rPr>
        <sz val="10"/>
        <rFont val="Noto Sans CJK SC"/>
        <family val="2"/>
      </rPr>
      <t xml:space="preserve">개설신고 </t>
    </r>
    <r>
      <rPr>
        <sz val="10"/>
        <rFont val="Arial"/>
        <family val="0"/>
        <charset val="1"/>
      </rPr>
      <t xml:space="preserve">: 40,000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변경신고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이전신고에 한정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개설신고 </t>
    </r>
    <r>
      <rPr>
        <sz val="10"/>
        <rFont val="Arial"/>
        <family val="0"/>
        <charset val="1"/>
      </rPr>
      <t xml:space="preserve">: 40,000</t>
    </r>
    <r>
      <rPr>
        <sz val="10"/>
        <rFont val="Noto Sans CJK SC"/>
        <family val="2"/>
      </rPr>
      <t xml:space="preserve">원 변경신고 </t>
    </r>
    <r>
      <rPr>
        <sz val="10"/>
        <rFont val="Arial"/>
        <family val="0"/>
        <charset val="1"/>
      </rPr>
      <t xml:space="preserve">: 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이전신고에 한정</t>
    </r>
    <r>
      <rPr>
        <sz val="10"/>
        <rFont val="Arial"/>
        <family val="0"/>
        <charset val="1"/>
      </rPr>
      <t xml:space="preserve">)</t>
    </r>
  </si>
  <si>
    <t xml:space="preserve">의료기관 개설 허가신청 및 허가사항 변경신청</t>
  </si>
  <si>
    <r>
      <rPr>
        <sz val="10"/>
        <rFont val="Noto Sans CJK SC"/>
        <family val="2"/>
      </rPr>
      <t xml:space="preserve">개설허가 </t>
    </r>
    <r>
      <rPr>
        <sz val="10"/>
        <rFont val="Arial"/>
        <family val="0"/>
        <charset val="1"/>
      </rPr>
      <t xml:space="preserve">: 100,000</t>
    </r>
    <r>
      <rPr>
        <sz val="10"/>
        <rFont val="Noto Sans CJK SC"/>
        <family val="2"/>
      </rPr>
      <t xml:space="preserve">원   변경허가 </t>
    </r>
    <r>
      <rPr>
        <sz val="10"/>
        <rFont val="Arial"/>
        <family val="0"/>
        <charset val="1"/>
      </rPr>
      <t xml:space="preserve">: 40,000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이전신고에 한정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개설허가 </t>
    </r>
    <r>
      <rPr>
        <sz val="10"/>
        <rFont val="Arial"/>
        <family val="0"/>
        <charset val="1"/>
      </rPr>
      <t xml:space="preserve">: 100,000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변경허가 </t>
    </r>
    <r>
      <rPr>
        <sz val="10"/>
        <rFont val="Arial"/>
        <family val="0"/>
        <charset val="1"/>
      </rPr>
      <t xml:space="preserve">: 40,000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이전신고에 한정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</si>
  <si>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의료기관 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폐업신고</t>
    </r>
  </si>
  <si>
    <t xml:space="preserve">의료기관세탁물 처리업 신고</t>
  </si>
  <si>
    <r>
      <rPr>
        <sz val="10"/>
        <rFont val="Noto Sans CJK SC"/>
        <family val="2"/>
      </rPr>
      <t xml:space="preserve">의료기기 수리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신고증 재발급 신청</t>
    </r>
  </si>
  <si>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우편민원 </t>
    </r>
    <r>
      <rPr>
        <sz val="10"/>
        <rFont val="Arial"/>
        <family val="0"/>
        <charset val="1"/>
      </rPr>
      <t xml:space="preserve">:  2,400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</si>
  <si>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의료기기 영업의 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 등 신고</t>
    </r>
  </si>
  <si>
    <r>
      <rPr>
        <sz val="10"/>
        <rFont val="Noto Sans CJK SC"/>
        <family val="2"/>
      </rPr>
      <t xml:space="preserve">의료기기 판매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 변경신고</t>
    </r>
  </si>
  <si>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원 방문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우편민원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</si>
  <si>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의료기기 판촉영업자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</si>
  <si>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</t>
    </r>
  </si>
  <si>
    <t xml:space="preserve">의료기기 판촉영업자 신고증 재발급 신청</t>
  </si>
  <si>
    <r>
      <rPr>
        <sz val="10"/>
        <rFont val="Arial"/>
        <family val="0"/>
        <charset val="1"/>
      </rPr>
      <t xml:space="preserve">2,400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</si>
  <si>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의료기기 판촉영업자 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업무재개 신고</t>
    </r>
  </si>
  <si>
    <t xml:space="preserve">의료기기수리업 변경신고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</si>
  <si>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대표자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:36,000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</t>
    </r>
    <r>
      <rPr>
        <sz val="10"/>
        <rFont val="Arial"/>
        <family val="0"/>
        <charset val="1"/>
      </rPr>
      <t xml:space="preserve">:32,000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 2. </t>
    </r>
    <r>
      <rPr>
        <sz val="10"/>
        <rFont val="Noto Sans CJK SC"/>
        <family val="2"/>
      </rPr>
      <t xml:space="preserve">소재지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:30,000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</t>
    </r>
    <r>
      <rPr>
        <sz val="10"/>
        <rFont val="Arial"/>
        <family val="0"/>
        <charset val="1"/>
      </rPr>
      <t xml:space="preserve">:27,000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 3. </t>
    </r>
    <r>
      <rPr>
        <sz val="10"/>
        <rFont val="Noto Sans CJK SC"/>
        <family val="2"/>
      </rPr>
      <t xml:space="preserve">그 밖의 신고사항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:25,000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</t>
    </r>
    <r>
      <rPr>
        <sz val="10"/>
        <rFont val="Arial"/>
        <family val="0"/>
        <charset val="1"/>
      </rPr>
      <t xml:space="preserve">:22,000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/ 1. </t>
    </r>
    <r>
      <rPr>
        <sz val="10"/>
        <rFont val="Noto Sans CJK SC"/>
        <family val="2"/>
      </rPr>
      <t xml:space="preserve">대표자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:36,000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</t>
    </r>
    <r>
      <rPr>
        <sz val="10"/>
        <rFont val="Arial"/>
        <family val="0"/>
        <charset val="1"/>
      </rPr>
      <t xml:space="preserve">:32,000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2. </t>
    </r>
    <r>
      <rPr>
        <sz val="10"/>
        <rFont val="Noto Sans CJK SC"/>
        <family val="2"/>
      </rPr>
      <t xml:space="preserve">소재지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:30,000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</t>
    </r>
    <r>
      <rPr>
        <sz val="10"/>
        <rFont val="Arial"/>
        <family val="0"/>
        <charset val="1"/>
      </rPr>
      <t xml:space="preserve">:27,000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3. </t>
    </r>
    <r>
      <rPr>
        <sz val="10"/>
        <rFont val="Noto Sans CJK SC"/>
        <family val="2"/>
      </rPr>
      <t xml:space="preserve">그 밖의 신고사항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방문</t>
    </r>
    <r>
      <rPr>
        <sz val="10"/>
        <rFont val="Arial"/>
        <family val="0"/>
        <charset val="1"/>
      </rPr>
      <t xml:space="preserve">:25,000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</t>
    </r>
    <r>
      <rPr>
        <sz val="10"/>
        <rFont val="Arial"/>
        <family val="0"/>
        <charset val="1"/>
      </rPr>
      <t xml:space="preserve">:22,000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</si>
  <si>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의료기기수리업 신고</t>
  </si>
  <si>
    <r>
      <rPr>
        <sz val="10"/>
        <rFont val="Noto Sans CJK SC"/>
        <family val="2"/>
      </rPr>
      <t xml:space="preserve">방문우편 </t>
    </r>
    <r>
      <rPr>
        <sz val="10"/>
        <rFont val="Arial"/>
        <family val="0"/>
        <charset val="1"/>
      </rPr>
      <t xml:space="preserve">: 50,000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: 45,000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</si>
  <si>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의료기기판매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업신고</t>
    </r>
  </si>
  <si>
    <r>
      <rPr>
        <sz val="10"/>
        <rFont val="Noto Sans CJK SC"/>
        <family val="2"/>
      </rPr>
      <t xml:space="preserve">전자민원 </t>
    </r>
    <r>
      <rPr>
        <sz val="10"/>
        <rFont val="Arial"/>
        <family val="0"/>
        <charset val="1"/>
      </rPr>
      <t xml:space="preserve">9,000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방문 </t>
    </r>
    <r>
      <rPr>
        <sz val="10"/>
        <rFont val="Arial"/>
        <family val="0"/>
        <charset val="1"/>
      </rPr>
      <t xml:space="preserve">10,000</t>
    </r>
    <r>
      <rPr>
        <sz val="10"/>
        <rFont val="Noto Sans CJK SC"/>
        <family val="2"/>
      </rPr>
      <t xml:space="preserve">원</t>
    </r>
  </si>
  <si>
    <t xml:space="preserve">의무관리대상 공동주택 전환 등 신고</t>
  </si>
  <si>
    <r>
      <rPr>
        <sz val="10"/>
        <rFont val="Noto Sans CJK SC"/>
        <family val="2"/>
      </rPr>
      <t xml:space="preserve">의약품 판촉영업자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</si>
  <si>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: 10,000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: 5,000</t>
    </r>
    <r>
      <rPr>
        <sz val="10"/>
        <rFont val="Noto Sans CJK SC"/>
        <family val="2"/>
      </rPr>
      <t xml:space="preserve">원</t>
    </r>
  </si>
  <si>
    <t xml:space="preserve">의약품 판촉영업자 지위승계 신고</t>
  </si>
  <si>
    <r>
      <rPr>
        <sz val="10"/>
        <rFont val="Noto Sans CJK SC"/>
        <family val="2"/>
      </rPr>
      <t xml:space="preserve">의약품 판촉영업자 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업무재개 신고</t>
    </r>
  </si>
  <si>
    <t xml:space="preserve">의약품도매상허가</t>
  </si>
  <si>
    <t xml:space="preserve">의약품판매업 허가사항 변경허가</t>
  </si>
  <si>
    <t xml:space="preserve">의약품판매업자 지위승계 신고</t>
  </si>
  <si>
    <t xml:space="preserve">이륜자동차 사용신고</t>
  </si>
  <si>
    <t xml:space="preserve">이륜자동차 사용신고필증 재교부신청</t>
  </si>
  <si>
    <t xml:space="preserve">이륜자동차 신고사항 변경 신고</t>
  </si>
  <si>
    <r>
      <rPr>
        <sz val="10"/>
        <rFont val="Noto Sans CJK SC"/>
        <family val="2"/>
      </rPr>
      <t xml:space="preserve">이륜자동차검사 유효기간연장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검사유예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</si>
  <si>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t xml:space="preserve">이륜자동차사용폐지신고</t>
  </si>
  <si>
    <t xml:space="preserve">이륜자동차사용폐지증명</t>
  </si>
  <si>
    <r>
      <rPr>
        <sz val="10"/>
        <rFont val="Noto Sans CJK SC"/>
        <family val="2"/>
      </rPr>
      <t xml:space="preserve">이륜자동차정기검사 유효기간 연장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</si>
  <si>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이용사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미용사면허신청</t>
    </r>
  </si>
  <si>
    <r>
      <rPr>
        <sz val="10"/>
        <rFont val="Arial"/>
        <family val="0"/>
        <charset val="1"/>
      </rPr>
      <t xml:space="preserve">5,500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</si>
  <si>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이용사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미용사면허증재교부신청</t>
    </r>
  </si>
  <si>
    <r>
      <rPr>
        <sz val="10"/>
        <rFont val="Arial"/>
        <family val="0"/>
        <charset val="1"/>
      </rPr>
      <t xml:space="preserve">3,000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</si>
  <si>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인쇄사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</si>
  <si>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일반게임제공업 허가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게임</t>
    </r>
  </si>
  <si>
    <t xml:space="preserve">임대사업자 등록</t>
  </si>
  <si>
    <r>
      <rPr>
        <sz val="10"/>
        <rFont val="Noto Sans CJK SC"/>
        <family val="2"/>
      </rPr>
      <t xml:space="preserve">임대사업자 등록말소 신고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</si>
  <si>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임대조건 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임대조건 변경신고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임대차계약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신고증명서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임대차계약 변경신고서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변경신고증명서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주택 임대조건 신고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</si>
  <si>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임대주택등록사항변경신고</t>
    </r>
    <r>
      <rPr>
        <sz val="10"/>
        <rFont val="Arial"/>
        <family val="0"/>
        <charset val="1"/>
      </rPr>
      <t xml:space="preserve">,</t>
    </r>
  </si>
  <si>
    <t xml:space="preserve">임대차계약 변경신고</t>
  </si>
  <si>
    <t xml:space="preserve">임대차계약 신고</t>
  </si>
  <si>
    <r>
      <rPr>
        <sz val="10"/>
        <rFont val="Noto Sans CJK SC"/>
        <family val="2"/>
      </rPr>
      <t xml:space="preserve">입목벌채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임산물굴취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채취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허가</t>
    </r>
  </si>
  <si>
    <r>
      <rPr>
        <sz val="10"/>
        <rFont val="Noto Sans CJK SC"/>
        <family val="2"/>
      </rPr>
      <t xml:space="preserve">입원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격리명령 결핵환자 지원신청</t>
    </r>
  </si>
  <si>
    <t xml:space="preserve">입주자모집승인</t>
  </si>
  <si>
    <t xml:space="preserve">자가용자동차 유상운송허가</t>
  </si>
  <si>
    <r>
      <rPr>
        <sz val="10"/>
        <rFont val="Noto Sans CJK SC"/>
        <family val="2"/>
      </rPr>
      <t xml:space="preserve">자동차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1,400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</si>
  <si>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자가용화물자동차 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신규ㆍ변경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신고서</t>
    </r>
  </si>
  <si>
    <r>
      <rPr>
        <sz val="10"/>
        <rFont val="Noto Sans CJK SC"/>
        <family val="2"/>
      </rPr>
      <t xml:space="preserve">증지대  </t>
    </r>
    <r>
      <rPr>
        <sz val="10"/>
        <rFont val="Arial"/>
        <family val="0"/>
        <charset val="1"/>
      </rPr>
      <t xml:space="preserve">:  1,500</t>
    </r>
    <r>
      <rPr>
        <sz val="10"/>
        <rFont val="Noto Sans CJK SC"/>
        <family val="2"/>
      </rPr>
      <t xml:space="preserve">원</t>
    </r>
  </si>
  <si>
    <t xml:space="preserve">자경증명 발급신청</t>
  </si>
  <si>
    <r>
      <rPr>
        <sz val="10"/>
        <rFont val="Noto Sans CJK SC"/>
        <family val="2"/>
      </rPr>
      <t xml:space="preserve">자기관리형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위탁관리형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주택임대관리업 말소 신고서</t>
    </r>
  </si>
  <si>
    <t xml:space="preserve">자동차 공동명의 신청서</t>
  </si>
  <si>
    <t xml:space="preserve">자동차 등록사항 경정 신청</t>
  </si>
  <si>
    <t xml:space="preserve">자동차 말소등록 신청</t>
  </si>
  <si>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말소 증명서 발급 시 수수료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</si>
  <si>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자동차 변경등록 신청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</si>
  <si>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증지대 </t>
    </r>
    <r>
      <rPr>
        <sz val="10"/>
        <rFont val="Arial"/>
        <family val="0"/>
        <charset val="1"/>
      </rPr>
      <t xml:space="preserve">: 1,300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등록번호판 교부 필요시 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등록번호판별로 상이</t>
    </r>
    <r>
      <rPr>
        <sz val="10"/>
        <rFont val="Arial"/>
        <family val="0"/>
        <charset val="1"/>
      </rPr>
      <t xml:space="preserve">),    -  </t>
    </r>
    <r>
      <rPr>
        <sz val="10"/>
        <rFont val="Noto Sans CJK SC"/>
        <family val="2"/>
      </rPr>
      <t xml:space="preserve">등록면허세 </t>
    </r>
    <r>
      <rPr>
        <sz val="10"/>
        <rFont val="Arial"/>
        <family val="0"/>
        <charset val="1"/>
      </rPr>
      <t xml:space="preserve">: 15,000</t>
    </r>
    <r>
      <rPr>
        <sz val="10"/>
        <rFont val="Noto Sans CJK SC"/>
        <family val="2"/>
      </rPr>
      <t xml:space="preserve">원</t>
    </r>
  </si>
  <si>
    <t xml:space="preserve">자동차 상속협의서</t>
  </si>
  <si>
    <t xml:space="preserve">자동차 소유에 대한 자동차세 비과세 신청</t>
  </si>
  <si>
    <t xml:space="preserve">자동차 수출 이행여부 신고서</t>
  </si>
  <si>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말소 증명서 발급 시 수수료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</si>
  <si>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자동차 신규등록 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신조차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수입차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부활차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</si>
  <si>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증지대 </t>
    </r>
    <r>
      <rPr>
        <sz val="10"/>
        <rFont val="Arial"/>
        <family val="0"/>
        <charset val="1"/>
      </rPr>
      <t xml:space="preserve">: 2,000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사용본거지와 다른 시도에서 신청하는 경우 </t>
    </r>
    <r>
      <rPr>
        <sz val="10"/>
        <rFont val="Arial"/>
        <family val="0"/>
        <charset val="1"/>
      </rPr>
      <t xml:space="preserve">2,500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, - </t>
    </r>
    <r>
      <rPr>
        <sz val="10"/>
        <rFont val="Noto Sans CJK SC"/>
        <family val="2"/>
      </rPr>
      <t xml:space="preserve">인지세 </t>
    </r>
    <r>
      <rPr>
        <sz val="10"/>
        <rFont val="Arial"/>
        <family val="0"/>
        <charset val="1"/>
      </rPr>
      <t xml:space="preserve">: 3,000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취득세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지역공채는 차량별로 따름</t>
    </r>
    <r>
      <rPr>
        <sz val="10"/>
        <rFont val="Arial"/>
        <family val="0"/>
        <charset val="1"/>
      </rPr>
      <t xml:space="preserve">, - </t>
    </r>
    <r>
      <rPr>
        <sz val="10"/>
        <rFont val="Noto Sans CJK SC"/>
        <family val="2"/>
      </rPr>
      <t xml:space="preserve">등록번호판 발급 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번호판별로 상이</t>
    </r>
    <r>
      <rPr>
        <sz val="10"/>
        <rFont val="Arial"/>
        <family val="0"/>
        <charset val="1"/>
      </rPr>
      <t xml:space="preserve">)</t>
    </r>
  </si>
  <si>
    <t xml:space="preserve">자동차 외부장치용 등록번호판 발급 신청서</t>
  </si>
  <si>
    <t xml:space="preserve">자동차 번호판별 상의</t>
  </si>
  <si>
    <t xml:space="preserve">자동차 위임장</t>
  </si>
  <si>
    <t xml:space="preserve">자동차 이전등록 신청서</t>
  </si>
  <si>
    <r>
      <rPr>
        <sz val="10"/>
        <rFont val="Noto Sans CJK SC"/>
        <family val="2"/>
      </rPr>
      <t xml:space="preserve">증지대 </t>
    </r>
    <r>
      <rPr>
        <sz val="10"/>
        <rFont val="Arial"/>
        <family val="0"/>
        <charset val="1"/>
      </rPr>
      <t xml:space="preserve">: 1,000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사용본거지와 다른 시도에서 신청하는 경우 </t>
    </r>
    <r>
      <rPr>
        <sz val="10"/>
        <rFont val="Arial"/>
        <family val="0"/>
        <charset val="1"/>
      </rPr>
      <t xml:space="preserve">1,500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,  - </t>
    </r>
    <r>
      <rPr>
        <sz val="10"/>
        <rFont val="Noto Sans CJK SC"/>
        <family val="2"/>
      </rPr>
      <t xml:space="preserve">인지세 </t>
    </r>
    <r>
      <rPr>
        <sz val="10"/>
        <rFont val="Arial"/>
        <family val="0"/>
        <charset val="1"/>
      </rPr>
      <t xml:space="preserve">: 3,000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취득세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지역공채는 차량별로 따름</t>
    </r>
    <r>
      <rPr>
        <sz val="10"/>
        <rFont val="Arial"/>
        <family val="0"/>
        <charset val="1"/>
      </rPr>
      <t xml:space="preserve">,  - </t>
    </r>
    <r>
      <rPr>
        <sz val="10"/>
        <rFont val="Noto Sans CJK SC"/>
        <family val="2"/>
      </rPr>
      <t xml:space="preserve">등록번호판 발급 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번호판별로 상이</t>
    </r>
    <r>
      <rPr>
        <sz val="10"/>
        <rFont val="Arial"/>
        <family val="0"/>
        <charset val="1"/>
      </rPr>
      <t xml:space="preserve">)</t>
    </r>
  </si>
  <si>
    <t xml:space="preserve">자동차 이해관계인의 자동차등록원부 초본 발급ㆍ열람 신청서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</si>
  <si>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건당</t>
    </r>
    <r>
      <rPr>
        <sz val="10"/>
        <rFont val="Arial"/>
        <family val="0"/>
        <charset val="1"/>
      </rPr>
      <t xml:space="preserve">):300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- 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건당</t>
    </r>
    <r>
      <rPr>
        <sz val="10"/>
        <rFont val="Arial"/>
        <family val="0"/>
        <charset val="1"/>
      </rPr>
      <t xml:space="preserve">):100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- </t>
    </r>
    <r>
      <rPr>
        <sz val="10"/>
        <rFont val="Noto Sans CJK SC"/>
        <family val="2"/>
      </rPr>
      <t xml:space="preserve">인터넷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시 무료</t>
    </r>
  </si>
  <si>
    <r>
      <rPr>
        <sz val="10"/>
        <rFont val="Noto Sans CJK SC"/>
        <family val="2"/>
      </rPr>
      <t xml:space="preserve">자동차 임시운행 번호판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허가증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분실신고서</t>
    </r>
  </si>
  <si>
    <t xml:space="preserve">자동차 임시운행허가 신청</t>
  </si>
  <si>
    <r>
      <rPr>
        <sz val="10"/>
        <rFont val="Arial"/>
        <family val="0"/>
        <charset val="1"/>
      </rPr>
      <t xml:space="preserve">1,800</t>
    </r>
    <r>
      <rPr>
        <sz val="10"/>
        <rFont val="Noto Sans CJK SC"/>
        <family val="2"/>
      </rPr>
      <t xml:space="preserve">원</t>
    </r>
  </si>
  <si>
    <t xml:space="preserve">자동차 임시운행허가증 및 번호판 반납신청서</t>
  </si>
  <si>
    <t xml:space="preserve">자동차 저당 말소 서식</t>
  </si>
  <si>
    <t xml:space="preserve">1,000</t>
  </si>
  <si>
    <t xml:space="preserve">자동차 저당 설정 서식</t>
  </si>
  <si>
    <r>
      <rPr>
        <sz val="10"/>
        <rFont val="Noto Sans CJK SC"/>
        <family val="2"/>
      </rPr>
      <t xml:space="preserve">설정금액의 </t>
    </r>
    <r>
      <rPr>
        <sz val="10"/>
        <rFont val="Arial"/>
        <family val="0"/>
        <charset val="1"/>
      </rPr>
      <t xml:space="preserve">0.4%</t>
    </r>
  </si>
  <si>
    <r>
      <rPr>
        <sz val="10"/>
        <rFont val="Noto Sans CJK SC"/>
        <family val="2"/>
      </rPr>
      <t xml:space="preserve">자동차 증여증서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증여 계약서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참고용</t>
    </r>
    <r>
      <rPr>
        <sz val="10"/>
        <rFont val="Arial"/>
        <family val="0"/>
        <charset val="1"/>
      </rPr>
      <t xml:space="preserve">)</t>
    </r>
  </si>
  <si>
    <t xml:space="preserve">자동차관리사업 등록신청</t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</si>
  <si>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</si>
  <si>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자동차관리사업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양도ㆍ양수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</si>
  <si>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12,000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</si>
  <si>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자동차관리사업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재개업</t>
    </r>
    <r>
      <rPr>
        <sz val="10"/>
        <rFont val="Arial"/>
        <family val="0"/>
        <charset val="1"/>
      </rPr>
      <t xml:space="preserve">)</t>
    </r>
  </si>
  <si>
    <t xml:space="preserve">자동차관리사업의 변경등록신청</t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</si>
  <si>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13,100</t>
    </r>
    <r>
      <rPr>
        <sz val="10"/>
        <rFont val="Noto Sans CJK SC"/>
        <family val="2"/>
      </rPr>
      <t xml:space="preserve">원</t>
    </r>
  </si>
  <si>
    <t xml:space="preserve">자동차대여사업 변경등록</t>
  </si>
  <si>
    <r>
      <rPr>
        <sz val="10"/>
        <rFont val="Noto Sans CJK SC"/>
        <family val="2"/>
      </rPr>
      <t xml:space="preserve">증차 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차량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대당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</t>
    </r>
  </si>
  <si>
    <t xml:space="preserve">자동차등록 번호판 재교부 등 신청</t>
  </si>
  <si>
    <r>
      <rPr>
        <sz val="10"/>
        <rFont val="Noto Sans CJK SC"/>
        <family val="2"/>
      </rPr>
      <t xml:space="preserve">자동차등록원부 등본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발급ㆍ열람 신청서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</si>
  <si>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교부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      - </t>
    </r>
    <r>
      <rPr>
        <sz val="10"/>
        <rFont val="Noto Sans CJK SC"/>
        <family val="2"/>
      </rPr>
      <t xml:space="preserve">열람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       - </t>
    </r>
    <r>
      <rPr>
        <sz val="10"/>
        <rFont val="Noto Sans CJK SC"/>
        <family val="2"/>
      </rPr>
      <t xml:space="preserve">인터넷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시 무료</t>
    </r>
  </si>
  <si>
    <r>
      <rPr>
        <sz val="10"/>
        <rFont val="Noto Sans CJK SC"/>
        <family val="2"/>
      </rPr>
      <t xml:space="preserve">자동차등록원부 특기사항 기재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</si>
  <si>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등록면허세 </t>
    </r>
    <r>
      <rPr>
        <sz val="10"/>
        <rFont val="Arial"/>
        <family val="0"/>
        <charset val="1"/>
      </rPr>
      <t xml:space="preserve">: 15,000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</si>
  <si>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자동차등록원부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발급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</si>
  <si>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건당</t>
    </r>
    <r>
      <rPr>
        <sz val="10"/>
        <rFont val="Arial"/>
        <family val="0"/>
        <charset val="1"/>
      </rPr>
      <t xml:space="preserve">) : 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건당</t>
    </r>
    <r>
      <rPr>
        <sz val="10"/>
        <rFont val="Arial"/>
        <family val="0"/>
        <charset val="1"/>
      </rPr>
      <t xml:space="preserve">) : 100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인터넷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열람시</t>
    </r>
    <r>
      <rPr>
        <sz val="10"/>
        <rFont val="Arial"/>
        <family val="0"/>
        <charset val="1"/>
      </rPr>
      <t xml:space="preserve">) : </t>
    </r>
    <r>
      <rPr>
        <sz val="10"/>
        <rFont val="Noto Sans CJK SC"/>
        <family val="2"/>
      </rPr>
      <t xml:space="preserve">무료</t>
    </r>
  </si>
  <si>
    <r>
      <rPr>
        <sz val="10"/>
        <rFont val="Noto Sans CJK SC"/>
        <family val="2"/>
      </rPr>
      <t xml:space="preserve">자동차등록원부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발급신청</t>
    </r>
  </si>
  <si>
    <r>
      <rPr>
        <sz val="10"/>
        <rFont val="Noto Sans CJK SC"/>
        <family val="2"/>
      </rPr>
      <t xml:space="preserve">발급 건수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열람 시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인터넷발급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시 무료</t>
    </r>
  </si>
  <si>
    <t xml:space="preserve">자동차등록증 재교부 신청</t>
  </si>
  <si>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원</t>
    </r>
  </si>
  <si>
    <t xml:space="preserve">자동차등록증 재발급 신청</t>
  </si>
  <si>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인터넷 신청시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     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수령방법을 방문수령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후불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선택시 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</si>
  <si>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자동차양도증명서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양도인ㆍ양수인 직접 거래용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</si>
  <si>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자율점검업소 재지정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</si>
  <si>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t xml:space="preserve">자율점검업소 지정 신청</t>
  </si>
  <si>
    <t xml:space="preserve">잡지 등 정기간행물 폐업 신고</t>
  </si>
  <si>
    <t xml:space="preserve">시청 홍보담당관</t>
  </si>
  <si>
    <r>
      <rPr>
        <sz val="10"/>
        <rFont val="Noto Sans CJK SC"/>
        <family val="2"/>
      </rPr>
      <t xml:space="preserve">잡지 외 정기간행물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</si>
  <si>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잡지사업 등록</t>
  </si>
  <si>
    <t xml:space="preserve">잡지사업 변경등록</t>
  </si>
  <si>
    <r>
      <rPr>
        <sz val="10"/>
        <rFont val="Noto Sans CJK SC"/>
        <family val="2"/>
      </rPr>
      <t xml:space="preserve">장기미집행 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군계획시설 해제 신청서</t>
    </r>
  </si>
  <si>
    <r>
      <rPr>
        <sz val="10"/>
        <rFont val="Noto Sans CJK SC"/>
        <family val="2"/>
      </rPr>
      <t xml:space="preserve">장기미집행 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군계획시설 해제 입안신청서</t>
    </r>
  </si>
  <si>
    <t xml:space="preserve">장기요양기관 변경신고</t>
  </si>
  <si>
    <r>
      <rPr>
        <sz val="10"/>
        <rFont val="Noto Sans CJK SC"/>
        <family val="2"/>
      </rPr>
      <t xml:space="preserve">장기요양기관 입소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이용신청서 </t>
    </r>
    <r>
      <rPr>
        <sz val="10"/>
        <rFont val="Arial"/>
        <family val="0"/>
        <charset val="1"/>
      </rPr>
      <t xml:space="preserve">( </t>
    </r>
    <r>
      <rPr>
        <sz val="10"/>
        <rFont val="Noto Sans CJK SC"/>
        <family val="2"/>
      </rPr>
      <t xml:space="preserve">신규신청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갱신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해지 </t>
    </r>
    <r>
      <rPr>
        <sz val="10"/>
        <rFont val="Arial"/>
        <family val="0"/>
        <charset val="1"/>
      </rPr>
      <t xml:space="preserve">)</t>
    </r>
  </si>
  <si>
    <t xml:space="preserve">장기요양기관 지정신청</t>
  </si>
  <si>
    <r>
      <rPr>
        <sz val="10"/>
        <rFont val="Noto Sans CJK SC"/>
        <family val="2"/>
      </rPr>
      <t xml:space="preserve">장기요양기관 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폐업신고</t>
    </r>
  </si>
  <si>
    <t xml:space="preserve">장례식장 영업신고</t>
  </si>
  <si>
    <t xml:space="preserve">장례식장영업 폐업신고</t>
  </si>
  <si>
    <t xml:space="preserve">장애인등록증 재교부</t>
  </si>
  <si>
    <r>
      <rPr>
        <sz val="10"/>
        <rFont val="Noto Sans CJK SC"/>
        <family val="2"/>
      </rPr>
      <t xml:space="preserve">장애인보조기구 교부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</si>
  <si>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서북구청 주민복지과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읍면동 공통</t>
    </r>
  </si>
  <si>
    <r>
      <rPr>
        <sz val="10"/>
        <rFont val="Noto Sans CJK SC"/>
        <family val="2"/>
      </rPr>
      <t xml:space="preserve">장애인사용자동차등표지 발급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</si>
  <si>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t xml:space="preserve">장애인증명서발급</t>
  </si>
  <si>
    <t xml:space="preserve">재가노인복지시설 설치신고</t>
  </si>
  <si>
    <r>
      <rPr>
        <sz val="10"/>
        <rFont val="Noto Sans CJK SC"/>
        <family val="2"/>
      </rPr>
      <t xml:space="preserve">재개발사업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재건축사업 조합설립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인가</t>
    </r>
  </si>
  <si>
    <t xml:space="preserve">시청 도시재생과</t>
  </si>
  <si>
    <r>
      <rPr>
        <sz val="10"/>
        <rFont val="Noto Sans CJK SC"/>
        <family val="2"/>
      </rPr>
      <t xml:space="preserve">재교부신청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게임제작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청소년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게임제공업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인터넷컴퓨터게임시설제공업</t>
    </r>
  </si>
  <si>
    <t xml:space="preserve">재산세 변동신고</t>
  </si>
  <si>
    <t xml:space="preserve">재산세 분할납부 신청</t>
  </si>
  <si>
    <r>
      <rPr>
        <sz val="10"/>
        <rFont val="Noto Sans CJK SC"/>
        <family val="2"/>
      </rPr>
      <t xml:space="preserve">재산세 세율 특례 적용시 주택수 산정 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</t>
    </r>
  </si>
  <si>
    <r>
      <rPr>
        <sz val="10"/>
        <rFont val="Noto Sans CJK SC"/>
        <family val="2"/>
      </rPr>
      <t xml:space="preserve">재활용시설의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처리금지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폐쇄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명령 이행보고서</t>
    </r>
  </si>
  <si>
    <t xml:space="preserve">저당권 변경등록 신청서</t>
  </si>
  <si>
    <t xml:space="preserve">저당권 이전등록 신청서</t>
  </si>
  <si>
    <t xml:space="preserve">저수조 청소업 개설신고</t>
  </si>
  <si>
    <t xml:space="preserve">해당사항 없음</t>
  </si>
  <si>
    <t xml:space="preserve">저수조 청소업 폐업신고</t>
  </si>
  <si>
    <t xml:space="preserve">전기사업개시 신고</t>
  </si>
  <si>
    <r>
      <rPr>
        <sz val="10"/>
        <rFont val="Noto Sans CJK SC"/>
        <family val="2"/>
      </rPr>
      <t xml:space="preserve">전기사업변경허가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시설용량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천킬로와트 이하</t>
    </r>
  </si>
  <si>
    <t xml:space="preserve">전기사업양수인가</t>
  </si>
  <si>
    <r>
      <rPr>
        <sz val="10"/>
        <rFont val="Noto Sans CJK SC"/>
        <family val="2"/>
      </rPr>
      <t xml:space="preserve">전기사업허가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시설용량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천킬로와트 이하</t>
    </r>
  </si>
  <si>
    <t xml:space="preserve">전기설비의 공사 계획신고</t>
  </si>
  <si>
    <t xml:space="preserve">전기설비의 공사계획변경신고</t>
  </si>
  <si>
    <r>
      <rPr>
        <sz val="10"/>
        <rFont val="Noto Sans CJK SC"/>
        <family val="2"/>
      </rPr>
      <t xml:space="preserve">전입신고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</si>
  <si>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전화권유판매업 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영업재개 신고</t>
    </r>
  </si>
  <si>
    <t xml:space="preserve">전화권유판매업신고</t>
  </si>
  <si>
    <t xml:space="preserve">절수설비설치확인서</t>
  </si>
  <si>
    <t xml:space="preserve">0</t>
  </si>
  <si>
    <t xml:space="preserve">정보공개청구</t>
  </si>
  <si>
    <t xml:space="preserve">전부서 공통</t>
  </si>
  <si>
    <t xml:space="preserve">정보를 공개할 경우에 한해 공공기관의 정보공개에 관한 법률 시행규칙 별표 규정에 의해 받음</t>
  </si>
  <si>
    <t xml:space="preserve">조례참조</t>
  </si>
  <si>
    <r>
      <rPr>
        <sz val="10"/>
        <rFont val="Noto Sans CJK SC"/>
        <family val="2"/>
      </rPr>
      <t xml:space="preserve">정보비공개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부분공개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결정 이의신청</t>
    </r>
  </si>
  <si>
    <t xml:space="preserve">정보통신공사 사용전검사 신청</t>
  </si>
  <si>
    <r>
      <rPr>
        <sz val="10"/>
        <rFont val="Noto Sans CJK SC"/>
        <family val="2"/>
      </rPr>
      <t xml:space="preserve">동남구청 자치행정과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자치행정과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시청 스마트정보과</t>
    </r>
  </si>
  <si>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제곱미터 미만 건축물 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/ 500</t>
    </r>
    <r>
      <rPr>
        <sz val="10"/>
        <rFont val="Noto Sans CJK SC"/>
        <family val="2"/>
      </rPr>
      <t xml:space="preserve">제곱미터 이상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제곱미터 미만  건축물 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/ 1,000</t>
    </r>
    <r>
      <rPr>
        <sz val="10"/>
        <rFont val="Noto Sans CJK SC"/>
        <family val="2"/>
      </rPr>
      <t xml:space="preserve">제곱미터 이상 </t>
    </r>
    <r>
      <rPr>
        <sz val="10"/>
        <rFont val="Arial"/>
        <family val="0"/>
        <charset val="1"/>
      </rPr>
      <t xml:space="preserve">3,300</t>
    </r>
    <r>
      <rPr>
        <sz val="10"/>
        <rFont val="Noto Sans CJK SC"/>
        <family val="2"/>
      </rPr>
      <t xml:space="preserve">제곱미터 미만 건축물 </t>
    </r>
    <r>
      <rPr>
        <sz val="10"/>
        <rFont val="Arial"/>
        <family val="0"/>
        <charset val="1"/>
      </rPr>
      <t xml:space="preserve">: 4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/ 3,300</t>
    </r>
    <r>
      <rPr>
        <sz val="10"/>
        <rFont val="Noto Sans CJK SC"/>
        <family val="2"/>
      </rPr>
      <t xml:space="preserve">제곱미터 이상 건축물 </t>
    </r>
    <r>
      <rPr>
        <sz val="10"/>
        <rFont val="Arial"/>
        <family val="0"/>
        <charset val="1"/>
      </rPr>
      <t xml:space="preserve">: 6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</si>
  <si>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정보통신설비 유지보수관리자 선임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해임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변경 신고</t>
    </r>
  </si>
  <si>
    <t xml:space="preserve">시청 스마트정보과</t>
  </si>
  <si>
    <t xml:space="preserve">정보통신설비 유지보수관리자 선임신고증명서 발급신청서</t>
  </si>
  <si>
    <r>
      <rPr>
        <sz val="10"/>
        <rFont val="Noto Sans CJK SC"/>
        <family val="2"/>
      </rPr>
      <t xml:space="preserve">정수기제조업 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</si>
  <si>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신고 </t>
    </r>
    <r>
      <rPr>
        <sz val="10"/>
        <rFont val="Arial"/>
        <family val="0"/>
        <charset val="1"/>
      </rPr>
      <t xml:space="preserve">30,000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변경신고 </t>
    </r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</t>
    </r>
  </si>
  <si>
    <t xml:space="preserve">정신건강 심리상담 바우처사업</t>
  </si>
  <si>
    <r>
      <rPr>
        <sz val="10"/>
        <rFont val="Noto Sans CJK SC"/>
        <family val="2"/>
      </rPr>
      <t xml:space="preserve">정신건강 심리상담 제공기관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</si>
  <si>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정신요양시설 설치허가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</si>
  <si>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정신요양시설 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 신고</t>
    </r>
  </si>
  <si>
    <r>
      <rPr>
        <sz val="10"/>
        <rFont val="Noto Sans CJK SC"/>
        <family val="2"/>
      </rPr>
      <t xml:space="preserve">정신의료기관 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허가 신청</t>
    </r>
  </si>
  <si>
    <r>
      <rPr>
        <sz val="10"/>
        <rFont val="Noto Sans CJK SC"/>
        <family val="2"/>
      </rPr>
      <t xml:space="preserve">개설허가 </t>
    </r>
    <r>
      <rPr>
        <sz val="10"/>
        <rFont val="Arial"/>
        <family val="0"/>
        <charset val="1"/>
      </rPr>
      <t xml:space="preserve">100,000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변경허가 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개설장소 이전 </t>
    </r>
    <r>
      <rPr>
        <sz val="10"/>
        <rFont val="Arial"/>
        <family val="0"/>
        <charset val="1"/>
      </rPr>
      <t xml:space="preserve">40,000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</si>
  <si>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정신의료기관 입원자 퇴원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처우개선 심사청구</t>
    </r>
  </si>
  <si>
    <r>
      <rPr>
        <sz val="10"/>
        <rFont val="Noto Sans CJK SC"/>
        <family val="2"/>
      </rPr>
      <t xml:space="preserve">정신재활시설 설치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</si>
  <si>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정신재활시설 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 신고</t>
    </r>
  </si>
  <si>
    <r>
      <rPr>
        <sz val="10"/>
        <rFont val="Noto Sans CJK SC"/>
        <family val="2"/>
      </rPr>
      <t xml:space="preserve">정액등처리업등록사항변경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휴업？폐업？영업재개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</si>
  <si>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제적부의 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초본 교부신청</t>
    </r>
  </si>
  <si>
    <r>
      <rPr>
        <sz val="10"/>
        <rFont val="Noto Sans CJK SC"/>
        <family val="2"/>
      </rPr>
      <t xml:space="preserve">가족관계등록법규상 등록사항별 증명서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등초본포함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등의 수수료</t>
    </r>
  </si>
  <si>
    <t xml:space="preserve">제한차량 운행허가</t>
  </si>
  <si>
    <t xml:space="preserve">서북구청 건설과</t>
  </si>
  <si>
    <r>
      <rPr>
        <sz val="10"/>
        <rFont val="Noto Sans CJK SC"/>
        <family val="2"/>
      </rPr>
      <t xml:space="preserve">노선당 </t>
    </r>
    <r>
      <rPr>
        <sz val="10"/>
        <rFont val="Arial"/>
        <family val="0"/>
        <charset val="1"/>
      </rPr>
      <t xml:space="preserve">5000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</si>
  <si>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제한차량 운행허가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동남구</t>
    </r>
    <r>
      <rPr>
        <sz val="10"/>
        <rFont val="Arial"/>
        <family val="0"/>
        <charset val="1"/>
      </rPr>
      <t xml:space="preserve">)</t>
    </r>
  </si>
  <si>
    <t xml:space="preserve">동남구청 건설과</t>
  </si>
  <si>
    <t xml:space="preserve">조리사면허증기재사항변경신청</t>
  </si>
  <si>
    <r>
      <rPr>
        <sz val="10"/>
        <rFont val="Arial"/>
        <family val="0"/>
        <charset val="1"/>
      </rPr>
      <t xml:space="preserve">890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</si>
  <si>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조리사면허증발급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재발급</t>
    </r>
  </si>
  <si>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:5,500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:3,000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</si>
  <si>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조상 땅 찾아주기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주민등록번호가 없는 경우</t>
    </r>
  </si>
  <si>
    <r>
      <rPr>
        <sz val="10"/>
        <rFont val="Noto Sans CJK SC"/>
        <family val="2"/>
      </rPr>
      <t xml:space="preserve">조상 땅 찾아주기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주민등록번호가 있는 경우</t>
    </r>
  </si>
  <si>
    <t xml:space="preserve">종량제봉투판매소 지정 변경신청</t>
  </si>
  <si>
    <t xml:space="preserve">종량제봉투판매소 지정 신청</t>
  </si>
  <si>
    <r>
      <rPr>
        <sz val="10"/>
        <rFont val="Noto Sans CJK SC"/>
        <family val="2"/>
      </rPr>
      <t xml:space="preserve">종량제봉투판매소 휴업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</si>
  <si>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종량제봉투판매소지정신청</t>
  </si>
  <si>
    <r>
      <rPr>
        <sz val="10"/>
        <rFont val="Noto Sans CJK SC"/>
        <family val="2"/>
      </rPr>
      <t xml:space="preserve">종량제봉투판매소휴업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</si>
  <si>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종합소득에 대한 개인지방소득세 과세표준확정신고 및 납부계산서</t>
  </si>
  <si>
    <r>
      <rPr>
        <sz val="10"/>
        <rFont val="Noto Sans CJK SC"/>
        <family val="2"/>
      </rPr>
      <t xml:space="preserve">주거급여제공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변경신청</t>
    </r>
    <r>
      <rPr>
        <sz val="10"/>
        <rFont val="Arial"/>
        <family val="0"/>
        <charset val="1"/>
      </rPr>
      <t xml:space="preserve">)</t>
    </r>
  </si>
  <si>
    <t xml:space="preserve">주기장시설보유 확인신청</t>
  </si>
  <si>
    <t xml:space="preserve">주민등록 재등록신고</t>
  </si>
  <si>
    <t xml:space="preserve">주민등록 전입세대 열람 신청</t>
  </si>
  <si>
    <t xml:space="preserve">주민등록증 또는 주민등록표 통보서비스</t>
  </si>
  <si>
    <t xml:space="preserve">주민등록증 재발급 철회 신청</t>
  </si>
  <si>
    <t xml:space="preserve">주민등록증 재발급신청서 교체</t>
  </si>
  <si>
    <t xml:space="preserve">동남구청 자치행정과</t>
  </si>
  <si>
    <r>
      <rPr>
        <sz val="10"/>
        <rFont val="Noto Sans CJK SC"/>
        <family val="2"/>
      </rPr>
      <t xml:space="preserve">주민등록증분실신고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</si>
  <si>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주민등록표등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초본교부 신청</t>
    </r>
  </si>
  <si>
    <r>
      <rPr>
        <sz val="10"/>
        <rFont val="Noto Sans CJK SC"/>
        <family val="2"/>
      </rPr>
      <t xml:space="preserve">등본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초본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이해관계인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</si>
  <si>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주민등록표등본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교부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</si>
  <si>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통</t>
    </r>
    <r>
      <rPr>
        <sz val="10"/>
        <rFont val="Arial"/>
        <family val="0"/>
        <charset val="1"/>
      </rPr>
      <t xml:space="preserve">(400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이해관계인의 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초본교부는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</t>
    </r>
  </si>
  <si>
    <r>
      <rPr>
        <sz val="10"/>
        <rFont val="Noto Sans CJK SC"/>
        <family val="2"/>
      </rPr>
      <t xml:space="preserve">주민등록표초본교부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영문</t>
    </r>
  </si>
  <si>
    <r>
      <rPr>
        <sz val="10"/>
        <rFont val="Arial"/>
        <family val="0"/>
        <charset val="1"/>
      </rPr>
      <t xml:space="preserve">·1</t>
    </r>
    <r>
      <rPr>
        <sz val="10"/>
        <rFont val="Noto Sans CJK SC"/>
        <family val="2"/>
      </rPr>
      <t xml:space="preserve">건당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전자민원 창구로 신청시는 무료</t>
    </r>
    <r>
      <rPr>
        <sz val="10"/>
        <rFont val="Arial"/>
        <family val="0"/>
        <charset val="1"/>
      </rPr>
      <t xml:space="preserve">)</t>
    </r>
  </si>
  <si>
    <t xml:space="preserve">주정차위반 의견 진술서</t>
  </si>
  <si>
    <t xml:space="preserve">주정차위반 이의신청</t>
  </si>
  <si>
    <r>
      <rPr>
        <sz val="10"/>
        <rFont val="Noto Sans CJK SC"/>
        <family val="2"/>
      </rPr>
      <t xml:space="preserve">주차장 사용 승낙서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차고지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</si>
  <si>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주택건설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대지조성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사업계획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승인</t>
    </r>
  </si>
  <si>
    <r>
      <rPr>
        <sz val="10"/>
        <rFont val="Arial"/>
        <family val="0"/>
        <charset val="1"/>
      </rPr>
      <t xml:space="preserve">45,000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</si>
  <si>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주택건설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대지조성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사용검사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임시사용승인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</si>
  <si>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주택관리사 자격증 발급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유형없음</t>
    </r>
  </si>
  <si>
    <r>
      <rPr>
        <sz val="10"/>
        <rFont val="Noto Sans CJK SC"/>
        <family val="2"/>
      </rPr>
      <t xml:space="preserve">주택관리사보자격시험 합격증서 발급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유형없음</t>
    </r>
  </si>
  <si>
    <t xml:space="preserve">주택관리업 등록</t>
  </si>
  <si>
    <t xml:space="preserve">주택관리업 등록사항 변경신고</t>
  </si>
  <si>
    <t xml:space="preserve">주택임대관리업 등록사항 변경신고</t>
  </si>
  <si>
    <t xml:space="preserve">주택임대관리업자 현황 신고</t>
  </si>
  <si>
    <r>
      <rPr>
        <sz val="10"/>
        <rFont val="Noto Sans CJK SC"/>
        <family val="2"/>
      </rPr>
      <t xml:space="preserve">주택조합 설립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인가</t>
    </r>
  </si>
  <si>
    <r>
      <rPr>
        <sz val="10"/>
        <rFont val="Noto Sans CJK SC"/>
        <family val="2"/>
      </rPr>
      <t xml:space="preserve">중개업자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소속공인중개사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인장등록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등록인장 변경 신고</t>
    </r>
  </si>
  <si>
    <t xml:space="preserve">중도매업 허가신청</t>
  </si>
  <si>
    <t xml:space="preserve">중수도 설치신고서</t>
  </si>
  <si>
    <t xml:space="preserve">중수도 수질검사 결과 통보서</t>
  </si>
  <si>
    <t xml:space="preserve">증여계약해제신고서</t>
  </si>
  <si>
    <t xml:space="preserve">지방세 가산세 감면 신청</t>
  </si>
  <si>
    <t xml:space="preserve">지방세 감면신청</t>
  </si>
  <si>
    <t xml:space="preserve">지방세 과세표준 및 세액 등의 결정 또는 경정 청구</t>
  </si>
  <si>
    <t xml:space="preserve">지방세 과세표준 수정신고</t>
  </si>
  <si>
    <t xml:space="preserve">지방세 납부기한 연장 신청</t>
  </si>
  <si>
    <t xml:space="preserve">지방세 제증명 발급신청서 위임장 서식</t>
  </si>
  <si>
    <r>
      <rPr>
        <sz val="10"/>
        <rFont val="Noto Sans CJK SC"/>
        <family val="2"/>
      </rPr>
      <t xml:space="preserve">과세증명서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납세증명서 및 납부확인서 수수료 없음</t>
    </r>
  </si>
  <si>
    <t xml:space="preserve">지방세 징수유예 등의 신청</t>
  </si>
  <si>
    <t xml:space="preserve">지방세 환급금 양도신청</t>
  </si>
  <si>
    <t xml:space="preserve">지방세 환급청구</t>
  </si>
  <si>
    <r>
      <rPr>
        <sz val="10"/>
        <rFont val="Noto Sans CJK SC"/>
        <family val="2"/>
      </rPr>
      <t xml:space="preserve">지방세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납부확인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등록세납부 확인서</t>
    </r>
  </si>
  <si>
    <r>
      <rPr>
        <sz val="10"/>
        <rFont val="Noto Sans CJK SC"/>
        <family val="2"/>
      </rPr>
      <t xml:space="preserve">지역사회서비스투자사업 서비스 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유형없음</t>
    </r>
  </si>
  <si>
    <t xml:space="preserve">지위승계 신고서</t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</si>
  <si>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 용도변경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시설내용변경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신고서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</si>
  <si>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 허가신청서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행위허가신청서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</si>
  <si>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서면으로 신청하는 경우 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전자문서로 신청하는 경우 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</si>
  <si>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이용변경허가신청서</t>
    </r>
  </si>
  <si>
    <r>
      <rPr>
        <sz val="10"/>
        <rFont val="Noto Sans CJK SC"/>
        <family val="2"/>
      </rPr>
      <t xml:space="preserve">서면으로 신청하는 경우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천원    전자문서로 신청하는 경우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</si>
  <si>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이용시공업 등록신청서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변경등록신고서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</si>
  <si>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서면으로 신청ㆍ등록</t>
    </r>
    <r>
      <rPr>
        <sz val="10"/>
        <rFont val="Arial"/>
        <family val="0"/>
        <charset val="1"/>
      </rPr>
      <t xml:space="preserve">: 5</t>
    </r>
    <r>
      <rPr>
        <sz val="10"/>
        <rFont val="Noto Sans CJK SC"/>
        <family val="2"/>
      </rPr>
      <t xml:space="preserve">만원      ㆍ변경등록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만원 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전자문서로 신청하는 경우  ㆍ등록</t>
    </r>
    <r>
      <rPr>
        <sz val="10"/>
        <rFont val="Arial"/>
        <family val="0"/>
        <charset val="1"/>
      </rPr>
      <t xml:space="preserve">: 4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   ㆍ변경등록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</si>
  <si>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이용신고서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</si>
  <si>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이용자 권리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의무 승계신고서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</si>
  <si>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이용종료신고서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</si>
  <si>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이용준공신고서</t>
    </r>
  </si>
  <si>
    <r>
      <rPr>
        <sz val="10"/>
        <rFont val="Noto Sans CJK SC"/>
        <family val="2"/>
      </rPr>
      <t xml:space="preserve">지하수개발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이용허가 유효기간 연장허가신청서</t>
    </r>
  </si>
  <si>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서면으로 신청하는 경우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천원         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전자문서로 신청하는 경우 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</si>
  <si>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지하수영향조사기관 등록신청서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변경등록신청서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</si>
  <si>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서면으로 신청 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: 5</t>
    </r>
    <r>
      <rPr>
        <sz val="10"/>
        <rFont val="Noto Sans CJK SC"/>
        <family val="2"/>
      </rPr>
      <t xml:space="preserve">만원      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변경등록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만원    전자문서로 신청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: 4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천원   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변경등록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천원</t>
    </r>
  </si>
  <si>
    <r>
      <rPr>
        <sz val="10"/>
        <rFont val="Noto Sans CJK SC"/>
        <family val="2"/>
      </rPr>
      <t xml:space="preserve">직업소개사업변경등록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국내</t>
    </r>
  </si>
  <si>
    <r>
      <rPr>
        <sz val="10"/>
        <rFont val="Noto Sans CJK SC"/>
        <family val="2"/>
      </rPr>
      <t xml:space="preserve">직업소개사업폐지신고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국내</t>
    </r>
  </si>
  <si>
    <r>
      <rPr>
        <sz val="10"/>
        <rFont val="Noto Sans CJK SC"/>
        <family val="2"/>
      </rPr>
      <t xml:space="preserve">직인증명서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참고용</t>
    </r>
    <r>
      <rPr>
        <sz val="10"/>
        <rFont val="Arial"/>
        <family val="0"/>
        <charset val="1"/>
      </rPr>
      <t xml:space="preserve">)</t>
    </r>
  </si>
  <si>
    <t xml:space="preserve">직장민방위대 편성 대상업체지정</t>
  </si>
  <si>
    <r>
      <rPr>
        <sz val="10"/>
        <rFont val="Noto Sans CJK SC"/>
        <family val="2"/>
      </rPr>
      <t xml:space="preserve">직장민방위대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명의변경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</si>
  <si>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진단용 방사선 발생장치 신고증명서 재발급 신청</t>
  </si>
  <si>
    <r>
      <rPr>
        <sz val="10"/>
        <rFont val="Noto Sans CJK SC"/>
        <family val="2"/>
      </rPr>
      <t xml:space="preserve">진단용 방사선 발생장치의 사용중지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폐기 신고</t>
    </r>
  </si>
  <si>
    <t xml:space="preserve">진단용 방사선 발생장치의 설치 및 사용 신고</t>
  </si>
  <si>
    <t xml:space="preserve">진단용 방사선 발생장치의 신고사항 변경신고</t>
  </si>
  <si>
    <r>
      <rPr>
        <sz val="10"/>
        <rFont val="Noto Sans CJK SC"/>
        <family val="2"/>
      </rPr>
      <t xml:space="preserve">진료기록의 열람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사본 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송부 동의서</t>
    </r>
  </si>
  <si>
    <r>
      <rPr>
        <sz val="10"/>
        <rFont val="Noto Sans CJK SC"/>
        <family val="2"/>
      </rPr>
      <t xml:space="preserve">집단급식소 설치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 종료신고</t>
    </r>
  </si>
  <si>
    <r>
      <rPr>
        <sz val="10"/>
        <rFont val="Noto Sans CJK SC"/>
        <family val="2"/>
      </rPr>
      <t xml:space="preserve">집단급식소 설치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운영신고</t>
    </r>
  </si>
  <si>
    <r>
      <rPr>
        <sz val="10"/>
        <rFont val="Arial"/>
        <family val="0"/>
        <charset val="1"/>
      </rPr>
      <t xml:space="preserve">28,000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항에 따른 신고의 경우는 수수료를 면제합니다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</si>
  <si>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집단급식소 설치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운영신고사항 변경신고</t>
    </r>
  </si>
  <si>
    <r>
      <rPr>
        <sz val="10"/>
        <rFont val="Noto Sans CJK SC"/>
        <family val="2"/>
      </rPr>
      <t xml:space="preserve">집단급식소 설치 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운영종료신고</t>
    </r>
  </si>
  <si>
    <r>
      <rPr>
        <sz val="10"/>
        <rFont val="Noto Sans CJK SC"/>
        <family val="2"/>
      </rPr>
      <t xml:space="preserve">집단급식소 설치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신고</t>
    </r>
  </si>
  <si>
    <t xml:space="preserve">28000</t>
  </si>
  <si>
    <r>
      <rPr>
        <sz val="10"/>
        <rFont val="Noto Sans CJK SC"/>
        <family val="2"/>
      </rPr>
      <t xml:space="preserve">집합건축물대장 전유부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합병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</si>
  <si>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집합건축물대장 전유부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합병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</si>
  <si>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t xml:space="preserve">징수교부금 청구</t>
  </si>
  <si>
    <t xml:space="preserve">차고지 설치 확인 신청서</t>
  </si>
  <si>
    <r>
      <rPr>
        <sz val="10"/>
        <rFont val="Arial"/>
        <family val="0"/>
        <charset val="1"/>
      </rPr>
      <t xml:space="preserve">6,000</t>
    </r>
    <r>
      <rPr>
        <sz val="10"/>
        <rFont val="Noto Sans CJK SC"/>
        <family val="2"/>
      </rPr>
      <t xml:space="preserve">원</t>
    </r>
  </si>
  <si>
    <t xml:space="preserve">착공신고</t>
  </si>
  <si>
    <t xml:space="preserve">착공연기신청</t>
  </si>
  <si>
    <r>
      <rPr>
        <sz val="10"/>
        <rFont val="Noto Sans CJK SC"/>
        <family val="2"/>
      </rPr>
      <t xml:space="preserve">착공연기신청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국토이용관리법</t>
    </r>
    <r>
      <rPr>
        <sz val="10"/>
        <rFont val="Arial"/>
        <family val="0"/>
        <charset val="1"/>
      </rPr>
      <t xml:space="preserve">(21</t>
    </r>
    <r>
      <rPr>
        <sz val="10"/>
        <rFont val="Noto Sans CJK SC"/>
        <family val="2"/>
      </rPr>
      <t xml:space="preserve">층미만건축물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</si>
  <si>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창업사업계획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변경승인</t>
    </r>
    <r>
      <rPr>
        <sz val="10"/>
        <rFont val="Arial"/>
        <family val="0"/>
        <charset val="1"/>
      </rPr>
      <t xml:space="preserve">)&lt;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&gt;</t>
    </r>
  </si>
  <si>
    <t xml:space="preserve">천안시 지방세 세무조사 사례집</t>
  </si>
  <si>
    <t xml:space="preserve">첫아이 맞이 예비맘 종합건강검진 지원</t>
  </si>
  <si>
    <r>
      <rPr>
        <sz val="10"/>
        <rFont val="Noto Sans CJK SC"/>
        <family val="2"/>
      </rPr>
      <t xml:space="preserve">청소년게임제공업 및 인터넷컴퓨터게임시설제공업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일명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등록</t>
    </r>
  </si>
  <si>
    <r>
      <rPr>
        <sz val="10"/>
        <rFont val="Noto Sans CJK SC"/>
        <family val="2"/>
      </rPr>
      <t xml:space="preserve">청소년산모 임신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출산의료비 지원</t>
    </r>
  </si>
  <si>
    <r>
      <rPr>
        <sz val="10"/>
        <rFont val="Noto Sans CJK SC"/>
        <family val="2"/>
      </rPr>
      <t xml:space="preserve">청소년수련시설설치운영허가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신청</t>
    </r>
  </si>
  <si>
    <t xml:space="preserve">체육시설업 변경신고</t>
  </si>
  <si>
    <t xml:space="preserve">시청 체육진흥과</t>
  </si>
  <si>
    <t xml:space="preserve">체육시설업 신고</t>
  </si>
  <si>
    <t xml:space="preserve">체육시설업 신고증명서 재발급</t>
  </si>
  <si>
    <r>
      <rPr>
        <sz val="10"/>
        <rFont val="Noto Sans CJK SC"/>
        <family val="2"/>
      </rPr>
      <t xml:space="preserve">체육시설업 폐업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통보</t>
    </r>
  </si>
  <si>
    <t xml:space="preserve">초지전용신고</t>
  </si>
  <si>
    <r>
      <rPr>
        <sz val="10"/>
        <rFont val="Noto Sans CJK SC"/>
        <family val="2"/>
      </rPr>
      <t xml:space="preserve">촉탁의사 및 의료기관 협약체결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신고서</t>
    </r>
  </si>
  <si>
    <t xml:space="preserve">총괄재난관리자 선임 등록 신청</t>
  </si>
  <si>
    <t xml:space="preserve">축산관계시설 출입차량 등록 신청</t>
  </si>
  <si>
    <r>
      <rPr>
        <sz val="10"/>
        <rFont val="Noto Sans CJK SC"/>
        <family val="2"/>
      </rPr>
      <t xml:space="preserve">축산업의 승계신고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가축사육업영업자지위승계신고</t>
    </r>
  </si>
  <si>
    <r>
      <rPr>
        <sz val="10"/>
        <rFont val="Noto Sans CJK SC"/>
        <family val="2"/>
      </rPr>
      <t xml:space="preserve">출판사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</si>
  <si>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출판사인쇄사 폐업신고</t>
  </si>
  <si>
    <t xml:space="preserve">출하자신고</t>
  </si>
  <si>
    <t xml:space="preserve">취득세 신고</t>
  </si>
  <si>
    <t xml:space="preserve">취하원</t>
  </si>
  <si>
    <t xml:space="preserve">측량업 등록 신청</t>
  </si>
  <si>
    <t xml:space="preserve">측량업 등록사항 변경 신고</t>
  </si>
  <si>
    <r>
      <rPr>
        <sz val="10"/>
        <rFont val="Noto Sans CJK SC"/>
        <family val="2"/>
      </rPr>
      <t xml:space="preserve">측량업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등록수첩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재발급 신청</t>
    </r>
  </si>
  <si>
    <r>
      <rPr>
        <sz val="10"/>
        <rFont val="Noto Sans CJK SC"/>
        <family val="2"/>
      </rPr>
      <t xml:space="preserve">측량업의 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 신고</t>
    </r>
  </si>
  <si>
    <t xml:space="preserve">측량업자의 지위승계 신고</t>
  </si>
  <si>
    <t xml:space="preserve">측정대행업 등록 변경 신청서</t>
  </si>
  <si>
    <t xml:space="preserve">측정대행업 등록 신청서</t>
  </si>
  <si>
    <t xml:space="preserve">치과기공소 개설 등록</t>
  </si>
  <si>
    <t xml:space="preserve">치과기공소 양도 양수 신고</t>
  </si>
  <si>
    <r>
      <rPr>
        <sz val="10"/>
        <rFont val="Noto Sans CJK SC"/>
        <family val="2"/>
      </rPr>
      <t xml:space="preserve">치과기공소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안경업소 폐업 또는 등록사항 변경신고</t>
    </r>
  </si>
  <si>
    <t xml:space="preserve">치매치료관리비 지원 신청</t>
  </si>
  <si>
    <t xml:space="preserve">치매치료관리비 지원 신청서</t>
  </si>
  <si>
    <t xml:space="preserve">치매환자의료비</t>
  </si>
  <si>
    <t xml:space="preserve">침수흔적확인신청</t>
  </si>
  <si>
    <r>
      <rPr>
        <sz val="10"/>
        <rFont val="Noto Sans CJK SC"/>
        <family val="2"/>
      </rPr>
      <t xml:space="preserve">토양오염검사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토양오염도검사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누출검사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면제승인</t>
    </r>
  </si>
  <si>
    <t xml:space="preserve">토양화학분석 신청</t>
  </si>
  <si>
    <t xml:space="preserve">농업기술센터 기술보급과</t>
  </si>
  <si>
    <r>
      <rPr>
        <sz val="10"/>
        <rFont val="Noto Sans CJK SC"/>
        <family val="2"/>
      </rPr>
      <t xml:space="preserve">분석의뢰 성분별로 다름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</si>
  <si>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등록사항정정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</si>
  <si>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동남구청 산업교통과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서북구청 민원지적과</t>
    </r>
  </si>
  <si>
    <r>
      <rPr>
        <sz val="10"/>
        <rFont val="Noto Sans CJK SC"/>
        <family val="2"/>
      </rPr>
      <t xml:space="preserve">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지목변경 신청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</si>
  <si>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필지 당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</si>
  <si>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합병 신청</t>
    </r>
  </si>
  <si>
    <r>
      <rPr>
        <sz val="10"/>
        <rFont val="Noto Sans CJK SC"/>
        <family val="2"/>
      </rPr>
      <t xml:space="preserve">합병 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필지 당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</si>
  <si>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대장 열람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등본발급 신청</t>
    </r>
  </si>
  <si>
    <r>
      <rPr>
        <sz val="10"/>
        <rFont val="Noto Sans CJK SC"/>
        <family val="2"/>
      </rPr>
      <t xml:space="preserve">등본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필지</t>
    </r>
    <r>
      <rPr>
        <sz val="10"/>
        <rFont val="Arial"/>
        <family val="0"/>
        <charset val="1"/>
      </rPr>
      <t xml:space="preserve">):500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필지</t>
    </r>
    <r>
      <rPr>
        <sz val="10"/>
        <rFont val="Arial"/>
        <family val="0"/>
        <charset val="1"/>
      </rPr>
      <t xml:space="preserve">):300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인터넷발급 등본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필지</t>
    </r>
    <r>
      <rPr>
        <sz val="10"/>
        <rFont val="Arial"/>
        <family val="0"/>
        <charset val="1"/>
      </rPr>
      <t xml:space="preserve">):300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추가장당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열람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필지</t>
    </r>
    <r>
      <rPr>
        <sz val="10"/>
        <rFont val="Arial"/>
        <family val="0"/>
        <charset val="1"/>
      </rPr>
      <t xml:space="preserve">):200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소유자가 전자민원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등본발급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열람신청시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</si>
  <si>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분할 신청</t>
    </r>
  </si>
  <si>
    <r>
      <rPr>
        <sz val="10"/>
        <rFont val="Noto Sans CJK SC"/>
        <family val="2"/>
      </rPr>
      <t xml:space="preserve">분할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필지 당 </t>
    </r>
    <r>
      <rPr>
        <sz val="10"/>
        <rFont val="Arial"/>
        <family val="0"/>
        <charset val="1"/>
      </rPr>
      <t xml:space="preserve">1,400</t>
    </r>
    <r>
      <rPr>
        <sz val="10"/>
        <rFont val="Noto Sans CJK SC"/>
        <family val="2"/>
      </rPr>
      <t xml:space="preserve">원</t>
    </r>
  </si>
  <si>
    <t xml:space="preserve">토지등 매매차익에 대한 개인지방소득세 예정신고 및 납부계산서</t>
  </si>
  <si>
    <t xml:space="preserve">토지소유자 주소등록신청</t>
  </si>
  <si>
    <r>
      <rPr>
        <sz val="10"/>
        <rFont val="Noto Sans CJK SC"/>
        <family val="2"/>
      </rPr>
      <t xml:space="preserve">토지이동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등록전환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분할 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합병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지목변경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신청서 및 위임장</t>
    </r>
  </si>
  <si>
    <t xml:space="preserve">통신판매업자의 변경신고</t>
  </si>
  <si>
    <t xml:space="preserve">통신판매업자의 신고</t>
  </si>
  <si>
    <r>
      <rPr>
        <sz val="10"/>
        <rFont val="Noto Sans CJK SC"/>
        <family val="2"/>
      </rPr>
      <t xml:space="preserve">통신판매업자의 휴업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영업재개 신고</t>
    </r>
  </si>
  <si>
    <t xml:space="preserve">특수의료장비 등록신청</t>
  </si>
  <si>
    <r>
      <rPr>
        <sz val="10"/>
        <rFont val="Noto Sans CJK SC"/>
        <family val="2"/>
      </rPr>
      <t xml:space="preserve">특수의료장비</t>
    </r>
    <r>
      <rPr>
        <sz val="10"/>
        <rFont val="Arial"/>
        <family val="0"/>
        <charset val="1"/>
      </rPr>
      <t xml:space="preserve">(CT,MRI)</t>
    </r>
    <r>
      <rPr>
        <sz val="10"/>
        <rFont val="Noto Sans CJK SC"/>
        <family val="2"/>
      </rPr>
      <t xml:space="preserve">시설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개설자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기관명칭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설치장소변경</t>
    </r>
  </si>
  <si>
    <r>
      <rPr>
        <sz val="10"/>
        <rFont val="Noto Sans CJK SC"/>
        <family val="2"/>
      </rPr>
      <t xml:space="preserve">특수의료장비</t>
    </r>
    <r>
      <rPr>
        <sz val="10"/>
        <rFont val="Arial"/>
        <family val="0"/>
        <charset val="1"/>
      </rPr>
      <t xml:space="preserve">(CT,MRI)</t>
    </r>
    <r>
      <rPr>
        <sz val="10"/>
        <rFont val="Noto Sans CJK SC"/>
        <family val="2"/>
      </rPr>
      <t xml:space="preserve">인력변경</t>
    </r>
  </si>
  <si>
    <r>
      <rPr>
        <sz val="10"/>
        <rFont val="Noto Sans CJK SC"/>
        <family val="2"/>
      </rPr>
      <t xml:space="preserve">특수의료장비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유방촬영용장치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인력변경</t>
    </r>
  </si>
  <si>
    <t xml:space="preserve">특수장소의 의약품취급자 지정신청</t>
  </si>
  <si>
    <t xml:space="preserve">특정고압가스 사용신고</t>
  </si>
  <si>
    <t xml:space="preserve">특정공사 변경신고</t>
  </si>
  <si>
    <t xml:space="preserve">특정공사 사전신고</t>
  </si>
  <si>
    <r>
      <rPr>
        <sz val="10"/>
        <rFont val="Noto Sans CJK SC"/>
        <family val="2"/>
      </rPr>
      <t xml:space="preserve">특정토양오염관리대상시설 설치변경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</si>
  <si>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t xml:space="preserve">특정토양오염관리대상시설 설치신고</t>
  </si>
  <si>
    <t xml:space="preserve">판매업영업신고</t>
  </si>
  <si>
    <t xml:space="preserve">판매업영업신고사항변경신고</t>
  </si>
  <si>
    <t xml:space="preserve">판매업영업자지위승계신고</t>
  </si>
  <si>
    <r>
      <rPr>
        <sz val="10"/>
        <rFont val="Noto Sans CJK SC"/>
        <family val="2"/>
      </rPr>
      <t xml:space="preserve">판매업영업휴업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재개업ㆍ폐업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</si>
  <si>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폐기물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운반증 발급신청</t>
    </r>
  </si>
  <si>
    <r>
      <rPr>
        <sz val="10"/>
        <rFont val="Noto Sans CJK SC"/>
        <family val="2"/>
      </rPr>
      <t xml:space="preserve">폐기물 처리계획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</t>
    </r>
  </si>
  <si>
    <r>
      <rPr>
        <sz val="10"/>
        <rFont val="Noto Sans CJK SC"/>
        <family val="2"/>
      </rPr>
      <t xml:space="preserve">폐기물 처리업자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처리신고자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재개업 신고</t>
    </r>
  </si>
  <si>
    <t xml:space="preserve">폐기물 처분시설 또는 재활용시설 사용개시신고서</t>
  </si>
  <si>
    <r>
      <rPr>
        <sz val="10"/>
        <rFont val="Noto Sans CJK SC"/>
        <family val="2"/>
      </rPr>
      <t xml:space="preserve">폐기물 처분시설 또는 재활용시설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사용종료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폐쇄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</si>
  <si>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폐기물처리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사업변경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계획서</t>
    </r>
  </si>
  <si>
    <r>
      <rPr>
        <sz val="10"/>
        <rFont val="Noto Sans CJK SC"/>
        <family val="2"/>
      </rPr>
      <t xml:space="preserve">폐기물처리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운반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</si>
  <si>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폐기물처리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재활용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</si>
  <si>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폐기물처리업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허가 신청서</t>
    </r>
  </si>
  <si>
    <t xml:space="preserve">폐기물처리업 변경신고서</t>
  </si>
  <si>
    <r>
      <rPr>
        <sz val="10"/>
        <rFont val="Noto Sans CJK SC"/>
        <family val="2"/>
      </rPr>
      <t xml:space="preserve">폐기물처분시설 또는 재활용시설 설치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신고</t>
    </r>
  </si>
  <si>
    <r>
      <rPr>
        <sz val="10"/>
        <rFont val="Noto Sans CJK SC"/>
        <family val="2"/>
      </rPr>
      <t xml:space="preserve">폐수 배출시설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방지시설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개선</t>
    </r>
  </si>
  <si>
    <r>
      <rPr>
        <sz val="10"/>
        <rFont val="Noto Sans CJK SC"/>
        <family val="2"/>
      </rPr>
      <t xml:space="preserve">폐수 배출시설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방지시설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자체 개선 완료</t>
    </r>
  </si>
  <si>
    <t xml:space="preserve">폐수배출시설 변경신고</t>
  </si>
  <si>
    <t xml:space="preserve">폐수배출시설 변경허가 신청</t>
  </si>
  <si>
    <t xml:space="preserve">폐수배출시설 설치신고</t>
  </si>
  <si>
    <t xml:space="preserve">폐수배출시설 설치허가</t>
  </si>
  <si>
    <r>
      <rPr>
        <sz val="10"/>
        <rFont val="Noto Sans CJK SC"/>
        <family val="2"/>
      </rPr>
      <t xml:space="preserve">폐수배출시설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방지시설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자체 개선</t>
    </r>
  </si>
  <si>
    <t xml:space="preserve">폐수배출시설및방지시설의가동시작신고</t>
  </si>
  <si>
    <r>
      <rPr>
        <sz val="10"/>
        <rFont val="Noto Sans CJK SC"/>
        <family val="2"/>
      </rPr>
      <t xml:space="preserve">폐수배출시설변경신고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사업장 명칭변경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대표자변경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전부폐업의 경우</t>
    </r>
  </si>
  <si>
    <r>
      <rPr>
        <sz val="10"/>
        <rFont val="Noto Sans CJK SC"/>
        <family val="2"/>
      </rPr>
      <t xml:space="preserve">폐업신고서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게임제작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청소년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복합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게임제공업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인터넷컴퓨터게임시설제공업</t>
    </r>
  </si>
  <si>
    <t xml:space="preserve">한부모가족 증명서의 발급</t>
  </si>
  <si>
    <t xml:space="preserve">한센인 피해사건 피해자 위로지원금 지급신청</t>
  </si>
  <si>
    <t xml:space="preserve">한약방 이전허가</t>
  </si>
  <si>
    <t xml:space="preserve">해외체류신고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</si>
  <si>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</si>
  <si>
    <t xml:space="preserve">행복출산을 함께하는 천안형 산후조리 지원</t>
  </si>
  <si>
    <r>
      <rPr>
        <sz val="10"/>
        <rFont val="Noto Sans CJK SC"/>
        <family val="2"/>
      </rPr>
      <t xml:space="preserve">행위신고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용도변경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증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개축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재축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</si>
  <si>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행위허가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용도변경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증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개축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재축 등</t>
    </r>
    <r>
      <rPr>
        <sz val="10"/>
        <rFont val="Arial"/>
        <family val="0"/>
        <charset val="1"/>
      </rPr>
      <t xml:space="preserve">)</t>
    </r>
  </si>
  <si>
    <t xml:space="preserve">행정사 업무신고</t>
  </si>
  <si>
    <t xml:space="preserve">시청 자치분권과</t>
  </si>
  <si>
    <t xml:space="preserve">허가증 재발급 신청서</t>
  </si>
  <si>
    <r>
      <rPr>
        <sz val="10"/>
        <rFont val="Noto Sans CJK SC"/>
        <family val="2"/>
      </rPr>
      <t xml:space="preserve">허가증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지정서 등 재발급 신청서</t>
    </r>
  </si>
  <si>
    <t xml:space="preserve">협동조합 설립신고</t>
  </si>
  <si>
    <t xml:space="preserve">협동조합 정관변경 신고</t>
  </si>
  <si>
    <r>
      <rPr>
        <sz val="10"/>
        <rFont val="Noto Sans CJK SC"/>
        <family val="2"/>
      </rPr>
      <t xml:space="preserve">화물자동차 운송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가맹사업 상속 신고서</t>
    </r>
  </si>
  <si>
    <r>
      <rPr>
        <sz val="10"/>
        <rFont val="Noto Sans CJK SC"/>
        <family val="2"/>
      </rPr>
      <t xml:space="preserve">화물자동차 운송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가맹사업 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양수 신고서</t>
    </r>
  </si>
  <si>
    <r>
      <rPr>
        <sz val="10"/>
        <rFont val="Noto Sans CJK SC"/>
        <family val="2"/>
      </rPr>
      <t xml:space="preserve">화물자동차 운송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가맹사업 휴업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폐업 신고서</t>
    </r>
  </si>
  <si>
    <t xml:space="preserve">화물자동차 운송사업 변경허가신청서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</si>
  <si>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건당 기본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원에 차량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원씩 합산한 금액</t>
    </r>
  </si>
  <si>
    <r>
      <rPr>
        <sz val="10"/>
        <rFont val="Noto Sans CJK SC"/>
        <family val="2"/>
      </rPr>
      <t xml:space="preserve">화물자동차 운송사업 변경허가신청서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영업소 차량이전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허가이관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</si>
  <si>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원 차량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 추가</t>
    </r>
  </si>
  <si>
    <r>
      <rPr>
        <sz val="10"/>
        <rFont val="Noto Sans CJK SC"/>
        <family val="2"/>
      </rPr>
      <t xml:space="preserve">화물자동차 운송사업 허가사항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주기적 신고</t>
    </r>
    <r>
      <rPr>
        <sz val="10"/>
        <rFont val="Arial"/>
        <family val="0"/>
        <charset val="1"/>
      </rPr>
      <t xml:space="preserve">)</t>
    </r>
  </si>
  <si>
    <t xml:space="preserve">화물자동차 운송사업 허가신청서</t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</si>
  <si>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14,000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차량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대당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원 추가</t>
    </r>
  </si>
  <si>
    <r>
      <rPr>
        <sz val="10"/>
        <rFont val="Noto Sans CJK SC"/>
        <family val="2"/>
      </rPr>
      <t xml:space="preserve">화물자동차 운송주선사업 허가사항 신고서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주기적 신고</t>
    </r>
    <r>
      <rPr>
        <sz val="10"/>
        <rFont val="Arial"/>
        <family val="0"/>
        <charset val="1"/>
      </rPr>
      <t xml:space="preserve">)</t>
    </r>
  </si>
  <si>
    <t xml:space="preserve">활동지원기관 변경사항 신고</t>
  </si>
  <si>
    <t xml:space="preserve">휘발성유기화합물 배출시설 변경신고</t>
  </si>
  <si>
    <t xml:space="preserve">휘발성유기화합물 배출시설 설치신고</t>
  </si>
  <si>
    <r>
      <rPr>
        <sz val="10"/>
        <rFont val="Noto Sans CJK SC"/>
        <family val="2"/>
      </rPr>
      <t xml:space="preserve">희귀 신청서</t>
    </r>
    <r>
      <rPr>
        <sz val="10"/>
        <rFont val="Arial"/>
        <family val="0"/>
        <charset val="1"/>
      </rPr>
      <t xml:space="preserve">2018</t>
    </r>
  </si>
  <si>
    <r>
      <rPr>
        <i val="true"/>
        <sz val="10"/>
        <color rgb="FFB45309"/>
        <rFont val="Noto Sans CJK SC"/>
        <family val="2"/>
      </rPr>
      <t xml:space="preserve">※ 원본</t>
    </r>
    <r>
      <rPr>
        <i val="true"/>
        <sz val="10"/>
        <color rgb="FFB45309"/>
        <rFont val="Arial"/>
        <family val="0"/>
        <charset val="1"/>
      </rPr>
      <t xml:space="preserve">: </t>
    </r>
    <r>
      <rPr>
        <i val="true"/>
        <sz val="10"/>
        <color rgb="FFB45309"/>
        <rFont val="Noto Sans CJK SC"/>
        <family val="2"/>
      </rPr>
      <t xml:space="preserve">천안시 민원사무편람 </t>
    </r>
    <r>
      <rPr>
        <i val="true"/>
        <sz val="10"/>
        <color rgb="FFB45309"/>
        <rFont val="Arial"/>
        <family val="0"/>
        <charset val="1"/>
      </rPr>
      <t xml:space="preserve">/ </t>
    </r>
    <r>
      <rPr>
        <i val="true"/>
        <sz val="10"/>
        <color rgb="FFB45309"/>
        <rFont val="Noto Sans CJK SC"/>
        <family val="2"/>
      </rPr>
      <t xml:space="preserve">고유 민원사무 </t>
    </r>
    <r>
      <rPr>
        <i val="true"/>
        <sz val="10"/>
        <color rgb="FFB45309"/>
        <rFont val="Arial"/>
        <family val="0"/>
        <charset val="1"/>
      </rPr>
      <t xml:space="preserve">857</t>
    </r>
    <r>
      <rPr>
        <i val="true"/>
        <sz val="10"/>
        <color rgb="FFB45309"/>
        <rFont val="Noto Sans CJK SC"/>
        <family val="2"/>
      </rPr>
      <t xml:space="preserve">건 </t>
    </r>
    <r>
      <rPr>
        <i val="true"/>
        <sz val="10"/>
        <color rgb="FFB45309"/>
        <rFont val="Arial"/>
        <family val="0"/>
        <charset val="1"/>
      </rPr>
      <t xml:space="preserve">/ </t>
    </r>
    <r>
      <rPr>
        <i val="true"/>
        <sz val="10"/>
        <color rgb="FFB45309"/>
        <rFont val="Noto Sans CJK SC"/>
        <family val="2"/>
      </rPr>
      <t xml:space="preserve">기준일</t>
    </r>
    <r>
      <rPr>
        <i val="true"/>
        <sz val="10"/>
        <color rgb="FFB45309"/>
        <rFont val="Arial"/>
        <family val="0"/>
        <charset val="1"/>
      </rPr>
      <t xml:space="preserve">: 2026-08-15 — </t>
    </r>
    <r>
      <rPr>
        <i val="true"/>
        <sz val="10"/>
        <color rgb="FFB45309"/>
        <rFont val="Noto Sans CJK SC"/>
        <family val="2"/>
      </rPr>
      <t xml:space="preserve">지역</t>
    </r>
    <r>
      <rPr>
        <i val="true"/>
        <sz val="10"/>
        <color rgb="FFB45309"/>
        <rFont val="Arial"/>
        <family val="0"/>
        <charset val="1"/>
      </rPr>
      <t xml:space="preserve">·</t>
    </r>
    <r>
      <rPr>
        <i val="true"/>
        <sz val="10"/>
        <color rgb="FFB45309"/>
        <rFont val="Noto Sans CJK SC"/>
        <family val="2"/>
      </rPr>
      <t xml:space="preserve">시기별로 달라질 수 있는 </t>
    </r>
    <r>
      <rPr>
        <i val="true"/>
        <sz val="10"/>
        <color rgb="FFB45309"/>
        <rFont val="Arial"/>
        <family val="0"/>
        <charset val="1"/>
      </rPr>
      <t xml:space="preserve">"</t>
    </r>
    <r>
      <rPr>
        <i val="true"/>
        <sz val="10"/>
        <color rgb="FFB45309"/>
        <rFont val="Noto Sans CJK SC"/>
        <family val="2"/>
      </rPr>
      <t xml:space="preserve">기준점</t>
    </r>
    <r>
      <rPr>
        <i val="true"/>
        <sz val="10"/>
        <color rgb="FFB45309"/>
        <rFont val="Arial"/>
        <family val="0"/>
        <charset val="1"/>
      </rPr>
      <t xml:space="preserve">"</t>
    </r>
    <r>
      <rPr>
        <i val="true"/>
        <sz val="10"/>
        <color rgb="FFB45309"/>
        <rFont val="Noto Sans CJK SC"/>
        <family val="2"/>
      </rPr>
      <t xml:space="preserve">입니다</t>
    </r>
    <r>
      <rPr>
        <i val="true"/>
        <sz val="10"/>
        <color rgb="FFB45309"/>
        <rFont val="Arial"/>
        <family val="0"/>
        <charset val="1"/>
      </rPr>
      <t xml:space="preserve">. </t>
    </r>
    <r>
      <rPr>
        <i val="true"/>
        <sz val="10"/>
        <color rgb="FFB45309"/>
        <rFont val="Noto Sans CJK SC"/>
        <family val="2"/>
      </rPr>
      <t xml:space="preserve">자세한 사항은 </t>
    </r>
    <r>
      <rPr>
        <i val="true"/>
        <sz val="10"/>
        <color rgb="FFB45309"/>
        <rFont val="Arial"/>
        <family val="0"/>
        <charset val="1"/>
      </rPr>
      <t xml:space="preserve">[</t>
    </r>
    <r>
      <rPr>
        <i val="true"/>
        <sz val="10"/>
        <color rgb="FFB45309"/>
        <rFont val="Noto Sans CJK SC"/>
        <family val="2"/>
      </rPr>
      <t xml:space="preserve">사용 안내</t>
    </r>
    <r>
      <rPr>
        <i val="true"/>
        <sz val="10"/>
        <color rgb="FFB45309"/>
        <rFont val="Arial"/>
        <family val="0"/>
        <charset val="1"/>
      </rPr>
      <t xml:space="preserve">] </t>
    </r>
    <r>
      <rPr>
        <i val="true"/>
        <sz val="10"/>
        <color rgb="FFB45309"/>
        <rFont val="Noto Sans CJK SC"/>
        <family val="2"/>
      </rPr>
      <t xml:space="preserve">시트 참조</t>
    </r>
    <r>
      <rPr>
        <i val="true"/>
        <sz val="10"/>
        <color rgb="FFB45309"/>
        <rFont val="Arial"/>
        <family val="0"/>
        <charset val="1"/>
      </rPr>
      <t xml:space="preserve">.</t>
    </r>
  </si>
  <si>
    <t xml:space="preserve">법원 인지대·송달료 자동계산</t>
  </si>
  <si>
    <t xml:space="preserve">근거: 「민사소송 등 인지법」 제2조·제3조, 「민사소송 등 인지규칙」 (2026-08 기준 공개 자료)</t>
  </si>
  <si>
    <t xml:space="preserve">■ 인지액 구간표 (소가 기준)</t>
  </si>
  <si>
    <t xml:space="preserve">소가 구간(원)</t>
  </si>
  <si>
    <t xml:space="preserve">계산식</t>
  </si>
  <si>
    <r>
      <rPr>
        <sz val="10"/>
        <rFont val="Arial"/>
        <family val="0"/>
        <charset val="1"/>
      </rPr>
      <t xml:space="preserve">0 ~ 10,000,000 </t>
    </r>
    <r>
      <rPr>
        <sz val="10"/>
        <rFont val="Noto Sans CJK SC"/>
        <family val="2"/>
      </rPr>
      <t xml:space="preserve">미만</t>
    </r>
  </si>
  <si>
    <t xml:space="preserve">소가 × 0.5%</t>
  </si>
  <si>
    <r>
      <rPr>
        <sz val="10"/>
        <rFont val="Arial"/>
        <family val="0"/>
        <charset val="1"/>
      </rPr>
      <t xml:space="preserve">10,000,000 ~ 100,000,000 </t>
    </r>
    <r>
      <rPr>
        <sz val="10"/>
        <rFont val="Noto Sans CJK SC"/>
        <family val="2"/>
      </rPr>
      <t xml:space="preserve">미만</t>
    </r>
  </si>
  <si>
    <t xml:space="preserve">소가 × 0.45% + 5,000원</t>
  </si>
  <si>
    <r>
      <rPr>
        <sz val="10"/>
        <rFont val="Arial"/>
        <family val="0"/>
        <charset val="1"/>
      </rPr>
      <t xml:space="preserve">100,000,000 ~ 1,000,000,000 </t>
    </r>
    <r>
      <rPr>
        <sz val="10"/>
        <rFont val="Noto Sans CJK SC"/>
        <family val="2"/>
      </rPr>
      <t xml:space="preserve">미만</t>
    </r>
  </si>
  <si>
    <t xml:space="preserve">소가 × 0.40% + 55,000원</t>
  </si>
  <si>
    <r>
      <rPr>
        <sz val="10"/>
        <rFont val="Arial"/>
        <family val="0"/>
        <charset val="1"/>
      </rPr>
      <t xml:space="preserve">1,000,000,000 </t>
    </r>
    <r>
      <rPr>
        <sz val="10"/>
        <rFont val="Noto Sans CJK SC"/>
        <family val="2"/>
      </rPr>
      <t xml:space="preserve">이상</t>
    </r>
  </si>
  <si>
    <t xml:space="preserve">소가 × 0.35% + 555,000원</t>
  </si>
  <si>
    <r>
      <rPr>
        <i val="true"/>
        <sz val="9"/>
        <color rgb="FF777777"/>
        <rFont val="Arial"/>
        <family val="0"/>
        <charset val="1"/>
      </rPr>
      <t xml:space="preserve">※ 100</t>
    </r>
    <r>
      <rPr>
        <i val="true"/>
        <sz val="9"/>
        <color rgb="FF777777"/>
        <rFont val="Noto Sans CJK SC"/>
        <family val="2"/>
      </rPr>
      <t xml:space="preserve">원 미만은 계산 결과에서 버림</t>
    </r>
    <r>
      <rPr>
        <i val="true"/>
        <sz val="9"/>
        <color rgb="FF777777"/>
        <rFont val="Arial"/>
        <family val="0"/>
        <charset val="1"/>
      </rPr>
      <t xml:space="preserve">(</t>
    </r>
    <r>
      <rPr>
        <i val="true"/>
        <sz val="9"/>
        <color rgb="FF777777"/>
        <rFont val="Noto Sans CJK SC"/>
        <family val="2"/>
      </rPr>
      <t xml:space="preserve">절사</t>
    </r>
    <r>
      <rPr>
        <i val="true"/>
        <sz val="9"/>
        <color rgb="FF777777"/>
        <rFont val="Arial"/>
        <family val="0"/>
        <charset val="1"/>
      </rPr>
      <t xml:space="preserve">) </t>
    </r>
    <r>
      <rPr>
        <i val="true"/>
        <sz val="9"/>
        <color rgb="FF777777"/>
        <rFont val="Noto Sans CJK SC"/>
        <family val="2"/>
      </rPr>
      <t xml:space="preserve">처리됩니다</t>
    </r>
    <r>
      <rPr>
        <i val="true"/>
        <sz val="9"/>
        <color rgb="FF777777"/>
        <rFont val="Arial"/>
        <family val="0"/>
        <charset val="1"/>
      </rPr>
      <t xml:space="preserve">. </t>
    </r>
    <r>
      <rPr>
        <i val="true"/>
        <sz val="9"/>
        <color rgb="FF777777"/>
        <rFont val="Noto Sans CJK SC"/>
        <family val="2"/>
      </rPr>
      <t xml:space="preserve">전자소송은 산출 인지액의 </t>
    </r>
    <r>
      <rPr>
        <i val="true"/>
        <sz val="9"/>
        <color rgb="FF777777"/>
        <rFont val="Arial"/>
        <family val="0"/>
        <charset val="1"/>
      </rPr>
      <t xml:space="preserve">10%</t>
    </r>
    <r>
      <rPr>
        <i val="true"/>
        <sz val="9"/>
        <color rgb="FF777777"/>
        <rFont val="Noto Sans CJK SC"/>
        <family val="2"/>
      </rPr>
      <t xml:space="preserve">를 할인합니다</t>
    </r>
    <r>
      <rPr>
        <i val="true"/>
        <sz val="9"/>
        <color rgb="FF777777"/>
        <rFont val="Arial"/>
        <family val="0"/>
        <charset val="1"/>
      </rPr>
      <t xml:space="preserve">.</t>
    </r>
  </si>
  <si>
    <t xml:space="preserve">■ 계산기 (노란 칸에 입력)</t>
  </si>
  <si>
    <t xml:space="preserve">소가(청구금액, 원)</t>
  </si>
  <si>
    <t xml:space="preserve">전자소송 여부 (1=예, 0=아니오)</t>
  </si>
  <si>
    <t xml:space="preserve">당사자 수(원고+피고, 송달료용)</t>
  </si>
  <si>
    <t xml:space="preserve">송달료 예납 회수(민사 1심 단독/합의 기준 15회 예시)</t>
  </si>
  <si>
    <t xml:space="preserve">기본 인지액(전자소송 할인 전)</t>
  </si>
  <si>
    <t xml:space="preserve">전자소송 10% 할인 적용 인지액</t>
  </si>
  <si>
    <t xml:space="preserve">지급명령(독촉절차) 인지액 (본안의 1/10)</t>
  </si>
  <si>
    <t xml:space="preserve">송달료 1회 단가(원)</t>
  </si>
  <si>
    <t xml:space="preserve">예상 송달료 합계</t>
  </si>
  <si>
    <t xml:space="preserve">인지액 + 송달료 합계</t>
  </si>
  <si>
    <t xml:space="preserve">※ 이 계산기는 참고용입니다. 실제 접수 전 대한민국 법원 전자소송(pro-se.scourt.go.kr) 자동계산 결과와 대조하십시오.</t>
  </si>
  <si>
    <t xml:space="preserve">※ 소가에 지연손해금·이자 포함 여부, 공동소송 당사자 수 산정 등은 사건에 따라 달라질 수 있습니다.</t>
  </si>
  <si>
    <t xml:space="preserve">국세 — 인지세 (印紙稅)</t>
  </si>
  <si>
    <t xml:space="preserve">근거: 「인지세법」 제3조·제6조 (2026-08 기준, 국세청 소관) / 출처: 국가법령정보센터, 나무위키 정리본</t>
  </si>
  <si>
    <t xml:space="preserve">인지세는 지자체 조례가 아니라 전국 공통 "국세"입니다 — 지역과 무관하게 동일하게 적용됩니다.</t>
  </si>
  <si>
    <t xml:space="preserve">■ 과세문서 및 세액 (인지세법 제3조제1항)</t>
  </si>
  <si>
    <t xml:space="preserve">적용 대상</t>
  </si>
  <si>
    <t xml:space="preserve">기재금액 구간</t>
  </si>
  <si>
    <t xml:space="preserve">세액</t>
  </si>
  <si>
    <t xml:space="preserve">①②③ 부동산·선박·항공기 소유권이전증서 / 금융·보험기관 금전소비대차증서 / 도급·위임증서(법정)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</si>
  <si>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천만원 이하</t>
    </r>
  </si>
  <si>
    <t xml:space="preserve">면세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</si>
  <si>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천만원 초과 </t>
    </r>
    <r>
      <rPr>
        <sz val="10"/>
        <rFont val="Arial"/>
        <family val="0"/>
        <charset val="1"/>
      </rPr>
      <t xml:space="preserve">~ 3</t>
    </r>
    <r>
      <rPr>
        <sz val="10"/>
        <rFont val="Noto Sans CJK SC"/>
        <family val="2"/>
      </rPr>
      <t xml:space="preserve">천만원 이하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</si>
  <si>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천만원 초과 </t>
    </r>
    <r>
      <rPr>
        <sz val="10"/>
        <rFont val="Arial"/>
        <family val="0"/>
        <charset val="1"/>
      </rPr>
      <t xml:space="preserve">~ 5</t>
    </r>
    <r>
      <rPr>
        <sz val="10"/>
        <rFont val="Noto Sans CJK SC"/>
        <family val="2"/>
      </rPr>
      <t xml:space="preserve">천만원 이하</t>
    </r>
  </si>
  <si>
    <r>
      <rPr>
        <sz val="10"/>
        <rFont val="Arial"/>
        <family val="0"/>
        <charset val="1"/>
      </rPr>
      <t xml:space="preserve">40,000</t>
    </r>
    <r>
      <rPr>
        <sz val="10"/>
        <rFont val="Noto Sans CJK SC"/>
        <family val="2"/>
      </rPr>
      <t xml:space="preserve">원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</si>
  <si>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천만원 초과 </t>
    </r>
    <r>
      <rPr>
        <sz val="10"/>
        <rFont val="Arial"/>
        <family val="0"/>
        <charset val="1"/>
      </rPr>
      <t xml:space="preserve">~ 1</t>
    </r>
    <r>
      <rPr>
        <sz val="10"/>
        <rFont val="Noto Sans CJK SC"/>
        <family val="2"/>
      </rPr>
      <t xml:space="preserve">억원 이하</t>
    </r>
  </si>
  <si>
    <r>
      <rPr>
        <sz val="10"/>
        <rFont val="Arial"/>
        <family val="0"/>
        <charset val="1"/>
      </rPr>
      <t xml:space="preserve">70,000</t>
    </r>
    <r>
      <rPr>
        <sz val="10"/>
        <rFont val="Noto Sans CJK SC"/>
        <family val="2"/>
      </rPr>
      <t xml:space="preserve">원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</si>
  <si>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억원 초과 </t>
    </r>
    <r>
      <rPr>
        <sz val="10"/>
        <rFont val="Arial"/>
        <family val="0"/>
        <charset val="1"/>
      </rPr>
      <t xml:space="preserve">~ 10</t>
    </r>
    <r>
      <rPr>
        <sz val="10"/>
        <rFont val="Noto Sans CJK SC"/>
        <family val="2"/>
      </rPr>
      <t xml:space="preserve">억원 이하</t>
    </r>
  </si>
  <si>
    <r>
      <rPr>
        <sz val="10"/>
        <rFont val="Arial"/>
        <family val="0"/>
        <charset val="1"/>
      </rPr>
      <t xml:space="preserve">150,000</t>
    </r>
    <r>
      <rPr>
        <sz val="10"/>
        <rFont val="Noto Sans CJK SC"/>
        <family val="2"/>
      </rPr>
      <t xml:space="preserve">원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</si>
  <si>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억원 초과</t>
    </r>
  </si>
  <si>
    <r>
      <rPr>
        <sz val="10"/>
        <rFont val="Arial"/>
        <family val="0"/>
        <charset val="1"/>
      </rPr>
      <t xml:space="preserve">350,000</t>
    </r>
    <r>
      <rPr>
        <sz val="10"/>
        <rFont val="Noto Sans CJK SC"/>
        <family val="2"/>
      </rPr>
      <t xml:space="preserve">원</t>
    </r>
  </si>
  <si>
    <t xml:space="preserve">④ 등록 대상 동산(자동차 등) 양도증서</t>
  </si>
  <si>
    <t xml:space="preserve">금액 무관</t>
  </si>
  <si>
    <r>
      <rPr>
        <sz val="10"/>
        <rFont val="Arial"/>
        <family val="0"/>
        <charset val="1"/>
      </rPr>
      <t xml:space="preserve">3,000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정액</t>
    </r>
    <r>
      <rPr>
        <sz val="10"/>
        <rFont val="Arial"/>
        <family val="0"/>
        <charset val="1"/>
      </rPr>
      <t xml:space="preserve">)</t>
    </r>
  </si>
  <si>
    <t xml:space="preserve">기재금액 없는 과세문서(①~③,⑤,⑥유형)</t>
  </si>
  <si>
    <t xml:space="preserve">산정 불가 시</t>
  </si>
  <si>
    <r>
      <rPr>
        <sz val="10"/>
        <rFont val="Arial"/>
        <family val="0"/>
        <charset val="1"/>
      </rPr>
      <t xml:space="preserve">20,000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일괄</t>
    </r>
    <r>
      <rPr>
        <sz val="10"/>
        <rFont val="Arial"/>
        <family val="0"/>
        <charset val="1"/>
      </rPr>
      <t xml:space="preserve">)</t>
    </r>
  </si>
  <si>
    <t xml:space="preserve">■ 비과세 대상 (인지세법 제6조) — 아래는 인지세를 내지 않습니다</t>
  </si>
  <si>
    <t xml:space="preserve">• 국가·지방자치단체(지자체조합 포함)가 작성하는 증서 또는 통장</t>
  </si>
  <si>
    <t xml:space="preserve">• 주택 소유권 이전 증서로서 기재금액 1억원 이하인 것</t>
  </si>
  <si>
    <t xml:space="preserve">• 금전소비대차 증서로서 기재금액 5천만원 이하인 것</t>
  </si>
  <si>
    <t xml:space="preserve">• 공익사업(토지수용 등)에 따라 국가·지자체에 양도하며 작성하는 증서</t>
  </si>
  <si>
    <t xml:space="preserve">• 자선·구호 목적 단체가 그 사업에 관하여 작성하는 증서 등</t>
  </si>
  <si>
    <t xml:space="preserve">※ 대출 신설 시 인지세는 관행상 은행과 고객이 절반씩 부담하는 경우가 많습니다(법정 의무는 아니며 계약 관행).</t>
  </si>
  <si>
    <t xml:space="preserve">부동산</t>
  </si>
  <si>
    <r>
      <rPr>
        <i val="true"/>
        <sz val="9"/>
        <color rgb="FF777777"/>
        <rFont val="Arial"/>
        <family val="0"/>
        <charset val="1"/>
      </rPr>
      <t xml:space="preserve">"</t>
    </r>
    <r>
      <rPr>
        <i val="true"/>
        <sz val="9"/>
        <color rgb="FF777777"/>
        <rFont val="Noto Sans CJK SC"/>
        <family val="2"/>
      </rPr>
      <t xml:space="preserve">부동산</t>
    </r>
    <r>
      <rPr>
        <i val="true"/>
        <sz val="9"/>
        <color rgb="FF777777"/>
        <rFont val="Arial"/>
        <family val="0"/>
        <charset val="1"/>
      </rPr>
      <t xml:space="preserve">" </t>
    </r>
    <r>
      <rPr>
        <i val="true"/>
        <sz val="9"/>
        <color rgb="FF777777"/>
        <rFont val="Noto Sans CJK SC"/>
        <family val="2"/>
      </rPr>
      <t xml:space="preserve">또는 </t>
    </r>
    <r>
      <rPr>
        <i val="true"/>
        <sz val="9"/>
        <color rgb="FF777777"/>
        <rFont val="Arial"/>
        <family val="0"/>
        <charset val="1"/>
      </rPr>
      <t xml:space="preserve">"</t>
    </r>
    <r>
      <rPr>
        <i val="true"/>
        <sz val="9"/>
        <color rgb="FF777777"/>
        <rFont val="Noto Sans CJK SC"/>
        <family val="2"/>
      </rPr>
      <t xml:space="preserve">동산</t>
    </r>
    <r>
      <rPr>
        <i val="true"/>
        <sz val="9"/>
        <color rgb="FF777777"/>
        <rFont val="Arial"/>
        <family val="0"/>
        <charset val="1"/>
      </rPr>
      <t xml:space="preserve">" </t>
    </r>
    <r>
      <rPr>
        <i val="true"/>
        <sz val="9"/>
        <color rgb="FF777777"/>
        <rFont val="Noto Sans CJK SC"/>
        <family val="2"/>
      </rPr>
      <t xml:space="preserve">중 입력 </t>
    </r>
    <r>
      <rPr>
        <i val="true"/>
        <sz val="9"/>
        <color rgb="FF777777"/>
        <rFont val="Arial"/>
        <family val="0"/>
        <charset val="1"/>
      </rPr>
      <t xml:space="preserve">(</t>
    </r>
    <r>
      <rPr>
        <i val="true"/>
        <sz val="9"/>
        <color rgb="FF777777"/>
        <rFont val="Noto Sans CJK SC"/>
        <family val="2"/>
      </rPr>
      <t xml:space="preserve">동산</t>
    </r>
    <r>
      <rPr>
        <i val="true"/>
        <sz val="9"/>
        <color rgb="FF777777"/>
        <rFont val="Arial"/>
        <family val="0"/>
        <charset val="1"/>
      </rPr>
      <t xml:space="preserve">=</t>
    </r>
    <r>
      <rPr>
        <i val="true"/>
        <sz val="9"/>
        <color rgb="FF777777"/>
        <rFont val="Noto Sans CJK SC"/>
        <family val="2"/>
      </rPr>
      <t xml:space="preserve">자동차 등 정액 </t>
    </r>
    <r>
      <rPr>
        <i val="true"/>
        <sz val="9"/>
        <color rgb="FF777777"/>
        <rFont val="Arial"/>
        <family val="0"/>
        <charset val="1"/>
      </rPr>
      <t xml:space="preserve">3,000</t>
    </r>
    <r>
      <rPr>
        <i val="true"/>
        <sz val="9"/>
        <color rgb="FF777777"/>
        <rFont val="Noto Sans CJK SC"/>
        <family val="2"/>
      </rPr>
      <t xml:space="preserve">원</t>
    </r>
    <r>
      <rPr>
        <i val="true"/>
        <sz val="9"/>
        <color rgb="FF777777"/>
        <rFont val="Arial"/>
        <family val="0"/>
        <charset val="1"/>
      </rPr>
      <t xml:space="preserve">)</t>
    </r>
  </si>
  <si>
    <t xml:space="preserve">기재금액(계약금액, 원)</t>
  </si>
  <si>
    <t xml:space="preserve">인지세 계산 결과</t>
  </si>
  <si>
    <t xml:space="preserve">※ 주택 소유권 이전(기재금액 1억원 이하)이나 금전소비대차(5천만원 이하)는 비과세 대상이므로, 이 계산기는 해당 비과세 예외를 자동 반영하지 않습니다 — 대상 문서가 비과세 요건에 해당하는지 먼저 확인하십시오.</t>
  </si>
  <si>
    <t xml:space="preserve">※ 이 표는 2026-08 기준 스냅샷입니다. 실제 납부 전 국세청 홈택스 또는 관할 세무서에서 최신 세액을 재확인하십시오.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</si>
</sst>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sz val="10"/>
      <color rgb="FF555555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B45309"/>
      <name val="Noto Sans CJK SC"/>
      <family val="2"/>
    </font>
    <font>
      <i val="true"/>
      <sz val="10"/>
      <color rgb="FFB45309"/>
      <name val="Arial"/>
      <family val="0"/>
      <charset val="1"/>
    </font>
    <font>
      <i val="true"/>
      <sz val="9"/>
      <color rgb="FF777777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i val="true"/>
      <sz val="9"/>
      <color rgb="FF777777"/>
      <name val="Arial"/>
      <family val="0"/>
      <charset val="1"/>
    </font>
    <font>
      <i val="true"/>
      <sz val="9"/>
      <color rgb="FF777777"/>
      <name val="Noto Sans CJK SC"/>
      <family val="2"/>
    </font>
    <font>
      <b val="true"/>
      <sz val="11"/>
      <color rgb="FF0000FF"/>
      <name val="Arial"/>
      <family val="0"/>
      <charset val="1"/>
    </font>
    <font>
      <b val="true"/>
      <sz val="12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0"/>
      <color rgb="FFB45309"/>
      <name val="Noto Sans CJK SC"/>
      <family val="2"/>
      <charset val="1"/>
    </font>
    <font>
      <b val="true"/>
      <sz val="11"/>
      <color rgb="FF0000FF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DCFCE7"/>
        <bgColor rgb="FFCCFFFF"/>
      </patternFill>
    </fill>
    <fill>
      <patternFill patternType="solid">
        <fgColor rgb="FFFEF9C3"/>
        <bgColor rgb="FFFFFDE7"/>
      </patternFill>
    </fill>
    <fill>
      <patternFill patternType="solid">
        <fgColor rgb="FFFFE4E6"/>
        <bgColor rgb="FFFFFDE7"/>
      </patternFill>
    </fill>
    <fill>
      <patternFill patternType="solid">
        <fgColor rgb="FF1D4ED8"/>
        <bgColor rgb="FF3366FF"/>
      </patternFill>
    </fill>
    <fill>
      <patternFill patternType="solid">
        <fgColor rgb="FFFFFDE7"/>
        <bgColor rgb="FFFFFFFF"/>
      </patternFill>
    </fill>
    <fill>
      <patternFill patternType="solid">
        <fgColor rgb="FF7C2D12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B45309"/>
      <rgbColor rgb="FFFEF9C3"/>
      <rgbColor rgb="FFDCFCE7"/>
      <rgbColor rgb="FF660066"/>
      <rgbColor rgb="FFFF8080"/>
      <rgbColor rgb="FF1D4ED8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DE7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7C2D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6" customFormat="false" ht="16.5" hidden="false" customHeight="tru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5"/>
    </row>
    <row r="10" customFormat="false" ht="16.5" hidden="false" customHeight="true" outlineLevel="0" collapsed="false">
      <c r="A10" s="4" t="s">
        <v>6</v>
      </c>
    </row>
    <row r="11" customFormat="false" ht="15" hidden="false" customHeight="true" outlineLevel="0" collapsed="false">
      <c r="A11" s="5" t="s">
        <v>7</v>
      </c>
    </row>
    <row r="12" customFormat="false" ht="15" hidden="false" customHeight="true" outlineLevel="0" collapsed="false">
      <c r="A12" s="5" t="s">
        <v>8</v>
      </c>
    </row>
    <row r="13" customFormat="false" ht="15" hidden="false" customHeight="true" outlineLevel="0" collapsed="false">
      <c r="A13" s="5" t="s">
        <v>9</v>
      </c>
    </row>
    <row r="14" customFormat="false" ht="15" hidden="false" customHeight="true" outlineLevel="0" collapsed="false">
      <c r="A14" s="5" t="s">
        <v>10</v>
      </c>
    </row>
    <row r="15" customFormat="false" ht="15" hidden="false" customHeight="true" outlineLevel="0" collapsed="false">
      <c r="A15" s="5"/>
    </row>
    <row r="16" customFormat="false" ht="16.5" hidden="false" customHeight="true" outlineLevel="0" collapsed="false">
      <c r="A16" s="6" t="s">
        <v>11</v>
      </c>
    </row>
    <row r="17" customFormat="false" ht="15" hidden="false" customHeight="true" outlineLevel="0" collapsed="false">
      <c r="A17" s="7" t="s">
        <v>12</v>
      </c>
    </row>
    <row r="18" customFormat="false" ht="15" hidden="false" customHeight="true" outlineLevel="0" collapsed="false">
      <c r="A18" s="7" t="s">
        <v>13</v>
      </c>
    </row>
    <row r="19" customFormat="false" ht="15" hidden="false" customHeight="true" outlineLevel="0" collapsed="false">
      <c r="A19" s="7" t="s">
        <v>14</v>
      </c>
    </row>
    <row r="20" customFormat="false" ht="15" hidden="false" customHeight="true" outlineLevel="0" collapsed="false">
      <c r="A20" s="5" t="s">
        <v>15</v>
      </c>
    </row>
    <row r="21" customFormat="false" ht="15" hidden="false" customHeight="true" outlineLevel="0" collapsed="false">
      <c r="A21" s="7" t="s">
        <v>16</v>
      </c>
    </row>
    <row r="22" customFormat="false" ht="15" hidden="false" customHeight="true" outlineLevel="0" collapsed="false">
      <c r="A22" s="5"/>
    </row>
    <row r="23" customFormat="false" ht="16.5" hidden="false" customHeight="true" outlineLevel="0" collapsed="false">
      <c r="A23" s="6" t="s">
        <v>17</v>
      </c>
    </row>
    <row r="24" customFormat="false" ht="15" hidden="false" customHeight="true" outlineLevel="0" collapsed="false">
      <c r="A24" s="5" t="s">
        <v>18</v>
      </c>
    </row>
    <row r="25" customFormat="false" ht="15" hidden="false" customHeight="true" outlineLevel="0" collapsed="false">
      <c r="A25" s="5" t="s">
        <v>19</v>
      </c>
    </row>
    <row r="26" customFormat="false" ht="15" hidden="false" customHeight="true" outlineLevel="0" collapsed="false">
      <c r="A26" s="5" t="s">
        <v>20</v>
      </c>
    </row>
    <row r="27" customFormat="false" ht="15" hidden="false" customHeight="true" outlineLevel="0" collapsed="false">
      <c r="A27" s="5"/>
    </row>
    <row r="28" customFormat="false" ht="16.5" hidden="false" customHeight="true" outlineLevel="0" collapsed="false">
      <c r="A28" s="4" t="s">
        <v>21</v>
      </c>
    </row>
    <row r="29" customFormat="false" ht="15" hidden="false" customHeight="true" outlineLevel="0" collapsed="false">
      <c r="A29" s="5" t="s">
        <v>22</v>
      </c>
    </row>
    <row r="30" customFormat="false" ht="15" hidden="false" customHeight="true" outlineLevel="0" collapsed="false">
      <c r="A30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</row>
    <row r="2" customFormat="false" ht="15" hidden="false" customHeight="false" outlineLevel="0" collapsed="false">
      <c r="A2" s="9" t="s">
        <v>32</v>
      </c>
      <c r="B2" s="10" t="s">
        <v>33</v>
      </c>
      <c r="C2" s="10" t="s">
        <v>34</v>
      </c>
      <c r="D2" s="11"/>
      <c r="E2" s="11"/>
      <c r="F2" s="12" t="s">
        <v>35</v>
      </c>
      <c r="G2" s="11" t="n">
        <v>14</v>
      </c>
      <c r="H2" s="9"/>
    </row>
    <row r="3" customFormat="false" ht="15" hidden="false" customHeight="false" outlineLevel="0" collapsed="false">
      <c r="A3" s="9" t="s">
        <v>36</v>
      </c>
      <c r="B3" s="10" t="s">
        <v>33</v>
      </c>
      <c r="C3" s="10" t="s">
        <v>34</v>
      </c>
      <c r="D3" s="11"/>
      <c r="E3" s="11"/>
      <c r="F3" s="12" t="s">
        <v>35</v>
      </c>
      <c r="G3" s="11" t="n">
        <v>14</v>
      </c>
      <c r="H3" s="9"/>
    </row>
    <row r="4" customFormat="false" ht="29.85" hidden="false" customHeight="false" outlineLevel="0" collapsed="false">
      <c r="A4" s="13" t="s">
        <v>37</v>
      </c>
      <c r="B4" s="14" t="s">
        <v>38</v>
      </c>
      <c r="C4" s="13"/>
      <c r="D4" s="15"/>
      <c r="E4" s="15"/>
      <c r="F4" s="16" t="s">
        <v>39</v>
      </c>
      <c r="G4" s="15" t="n">
        <v>0</v>
      </c>
      <c r="H4" s="13"/>
    </row>
    <row r="5" customFormat="false" ht="29.85" hidden="false" customHeight="false" outlineLevel="0" collapsed="false">
      <c r="A5" s="13" t="s">
        <v>40</v>
      </c>
      <c r="B5" s="14" t="s">
        <v>41</v>
      </c>
      <c r="C5" s="13"/>
      <c r="D5" s="15"/>
      <c r="E5" s="15"/>
      <c r="F5" s="16" t="s">
        <v>39</v>
      </c>
      <c r="G5" s="15" t="n">
        <v>7</v>
      </c>
      <c r="H5" s="13"/>
    </row>
    <row r="6" customFormat="false" ht="15" hidden="false" customHeight="false" outlineLevel="0" collapsed="false">
      <c r="A6" s="13" t="s">
        <v>42</v>
      </c>
      <c r="B6" s="14" t="s">
        <v>43</v>
      </c>
      <c r="C6" s="13"/>
      <c r="D6" s="15"/>
      <c r="E6" s="15"/>
      <c r="F6" s="16" t="s">
        <v>39</v>
      </c>
      <c r="G6" s="15" t="n">
        <v>0</v>
      </c>
      <c r="H6" s="13"/>
    </row>
    <row r="7" customFormat="false" ht="29.85" hidden="false" customHeight="false" outlineLevel="0" collapsed="false">
      <c r="A7" s="17" t="s">
        <v>44</v>
      </c>
      <c r="B7" s="18" t="s">
        <v>45</v>
      </c>
      <c r="C7" s="17" t="s">
        <v>46</v>
      </c>
      <c r="D7" s="19" t="n">
        <v>2000</v>
      </c>
      <c r="E7" s="19" t="n">
        <v>5300</v>
      </c>
      <c r="F7" s="20" t="s">
        <v>47</v>
      </c>
      <c r="G7" s="20" t="n">
        <v>0</v>
      </c>
      <c r="H7" s="17"/>
    </row>
    <row r="8" customFormat="false" ht="29.85" hidden="false" customHeight="false" outlineLevel="0" collapsed="false">
      <c r="A8" s="17" t="s">
        <v>48</v>
      </c>
      <c r="B8" s="18" t="s">
        <v>49</v>
      </c>
      <c r="C8" s="17" t="s">
        <v>46</v>
      </c>
      <c r="D8" s="19" t="n">
        <v>2000</v>
      </c>
      <c r="E8" s="19" t="n">
        <v>5300</v>
      </c>
      <c r="F8" s="20" t="s">
        <v>47</v>
      </c>
      <c r="G8" s="20" t="n">
        <v>0</v>
      </c>
      <c r="H8" s="17"/>
    </row>
    <row r="9" customFormat="false" ht="29.85" hidden="false" customHeight="false" outlineLevel="0" collapsed="false">
      <c r="A9" s="17" t="s">
        <v>50</v>
      </c>
      <c r="B9" s="18" t="s">
        <v>51</v>
      </c>
      <c r="C9" s="17" t="s">
        <v>52</v>
      </c>
      <c r="D9" s="19" t="n">
        <v>15000</v>
      </c>
      <c r="E9" s="19" t="n">
        <v>15000</v>
      </c>
      <c r="F9" s="20" t="s">
        <v>47</v>
      </c>
      <c r="G9" s="20" t="n">
        <v>0</v>
      </c>
      <c r="H9" s="17"/>
    </row>
    <row r="10" customFormat="false" ht="15" hidden="false" customHeight="false" outlineLevel="0" collapsed="false">
      <c r="A10" s="17" t="s">
        <v>53</v>
      </c>
      <c r="B10" s="18" t="s">
        <v>51</v>
      </c>
      <c r="C10" s="17" t="s">
        <v>54</v>
      </c>
      <c r="D10" s="19" t="n">
        <v>25000</v>
      </c>
      <c r="E10" s="19" t="n">
        <v>25000</v>
      </c>
      <c r="F10" s="20" t="s">
        <v>47</v>
      </c>
      <c r="G10" s="20" t="n">
        <v>5</v>
      </c>
      <c r="H10" s="17"/>
    </row>
    <row r="11" customFormat="false" ht="15" hidden="false" customHeight="false" outlineLevel="0" collapsed="false">
      <c r="A11" s="17" t="s">
        <v>55</v>
      </c>
      <c r="B11" s="18" t="s">
        <v>51</v>
      </c>
      <c r="C11" s="17" t="s">
        <v>52</v>
      </c>
      <c r="D11" s="19" t="n">
        <v>15000</v>
      </c>
      <c r="E11" s="19" t="n">
        <v>15000</v>
      </c>
      <c r="F11" s="20" t="s">
        <v>47</v>
      </c>
      <c r="G11" s="20" t="n">
        <v>4</v>
      </c>
      <c r="H11" s="17"/>
    </row>
    <row r="12" customFormat="false" ht="15" hidden="false" customHeight="false" outlineLevel="0" collapsed="false">
      <c r="A12" s="9" t="s">
        <v>56</v>
      </c>
      <c r="B12" s="10" t="s">
        <v>33</v>
      </c>
      <c r="C12" s="10" t="s">
        <v>57</v>
      </c>
      <c r="D12" s="11"/>
      <c r="E12" s="11"/>
      <c r="F12" s="12" t="s">
        <v>35</v>
      </c>
      <c r="G12" s="11" t="n">
        <v>7</v>
      </c>
      <c r="H12" s="9"/>
    </row>
    <row r="13" customFormat="false" ht="29.85" hidden="false" customHeight="false" outlineLevel="0" collapsed="false">
      <c r="A13" s="13" t="s">
        <v>58</v>
      </c>
      <c r="B13" s="14" t="s">
        <v>41</v>
      </c>
      <c r="C13" s="13"/>
      <c r="D13" s="15"/>
      <c r="E13" s="15"/>
      <c r="F13" s="16" t="s">
        <v>39</v>
      </c>
      <c r="G13" s="15" t="n">
        <v>7</v>
      </c>
      <c r="H13" s="13"/>
    </row>
    <row r="14" customFormat="false" ht="15" hidden="false" customHeight="false" outlineLevel="0" collapsed="false">
      <c r="A14" s="13" t="s">
        <v>59</v>
      </c>
      <c r="B14" s="14" t="s">
        <v>60</v>
      </c>
      <c r="C14" s="13"/>
      <c r="D14" s="15"/>
      <c r="E14" s="15"/>
      <c r="F14" s="16" t="s">
        <v>39</v>
      </c>
      <c r="G14" s="15" t="n">
        <v>20</v>
      </c>
      <c r="H14" s="13"/>
    </row>
    <row r="15" customFormat="false" ht="15" hidden="false" customHeight="false" outlineLevel="0" collapsed="false">
      <c r="A15" s="18" t="s">
        <v>61</v>
      </c>
      <c r="B15" s="18" t="s">
        <v>33</v>
      </c>
      <c r="C15" s="17" t="s">
        <v>62</v>
      </c>
      <c r="D15" s="19" t="n">
        <v>50000</v>
      </c>
      <c r="E15" s="19" t="n">
        <v>50000</v>
      </c>
      <c r="F15" s="20" t="s">
        <v>47</v>
      </c>
      <c r="G15" s="20" t="n">
        <v>3</v>
      </c>
      <c r="H15" s="17"/>
    </row>
    <row r="16" customFormat="false" ht="15" hidden="false" customHeight="false" outlineLevel="0" collapsed="false">
      <c r="A16" s="18" t="s">
        <v>63</v>
      </c>
      <c r="B16" s="18" t="s">
        <v>64</v>
      </c>
      <c r="C16" s="18" t="s">
        <v>65</v>
      </c>
      <c r="D16" s="20"/>
      <c r="E16" s="20"/>
      <c r="F16" s="20" t="s">
        <v>47</v>
      </c>
      <c r="G16" s="20" t="n">
        <v>3</v>
      </c>
      <c r="H16" s="17"/>
    </row>
    <row r="17" customFormat="false" ht="15" hidden="false" customHeight="false" outlineLevel="0" collapsed="false">
      <c r="A17" s="18" t="s">
        <v>66</v>
      </c>
      <c r="B17" s="18" t="s">
        <v>67</v>
      </c>
      <c r="C17" s="18" t="s">
        <v>68</v>
      </c>
      <c r="D17" s="20"/>
      <c r="E17" s="20"/>
      <c r="F17" s="20" t="s">
        <v>47</v>
      </c>
      <c r="G17" s="20" t="n">
        <v>3</v>
      </c>
      <c r="H17" s="17"/>
    </row>
    <row r="18" customFormat="false" ht="15" hidden="false" customHeight="false" outlineLevel="0" collapsed="false">
      <c r="A18" s="18" t="s">
        <v>69</v>
      </c>
      <c r="B18" s="18" t="s">
        <v>70</v>
      </c>
      <c r="C18" s="18" t="s">
        <v>65</v>
      </c>
      <c r="D18" s="20"/>
      <c r="E18" s="20"/>
      <c r="F18" s="20" t="s">
        <v>47</v>
      </c>
      <c r="G18" s="20" t="n">
        <v>3</v>
      </c>
      <c r="H18" s="17"/>
    </row>
    <row r="19" customFormat="false" ht="15" hidden="false" customHeight="false" outlineLevel="0" collapsed="false">
      <c r="A19" s="18" t="s">
        <v>71</v>
      </c>
      <c r="B19" s="18" t="s">
        <v>51</v>
      </c>
      <c r="C19" s="18" t="s">
        <v>72</v>
      </c>
      <c r="D19" s="19" t="n">
        <v>15000</v>
      </c>
      <c r="E19" s="19" t="n">
        <v>30000</v>
      </c>
      <c r="F19" s="20" t="s">
        <v>47</v>
      </c>
      <c r="G19" s="20" t="n">
        <v>5</v>
      </c>
      <c r="H19" s="17"/>
    </row>
    <row r="20" customFormat="false" ht="15" hidden="false" customHeight="false" outlineLevel="0" collapsed="false">
      <c r="A20" s="14" t="s">
        <v>73</v>
      </c>
      <c r="B20" s="14" t="s">
        <v>51</v>
      </c>
      <c r="C20" s="13"/>
      <c r="D20" s="15"/>
      <c r="E20" s="15"/>
      <c r="F20" s="16" t="s">
        <v>39</v>
      </c>
      <c r="G20" s="15" t="n">
        <v>3</v>
      </c>
      <c r="H20" s="13"/>
    </row>
    <row r="21" customFormat="false" ht="15" hidden="false" customHeight="false" outlineLevel="0" collapsed="false">
      <c r="A21" s="14" t="s">
        <v>74</v>
      </c>
      <c r="B21" s="14" t="s">
        <v>75</v>
      </c>
      <c r="C21" s="13"/>
      <c r="D21" s="15"/>
      <c r="E21" s="15"/>
      <c r="F21" s="16" t="s">
        <v>39</v>
      </c>
      <c r="G21" s="15" t="n">
        <v>5</v>
      </c>
      <c r="H21" s="13"/>
    </row>
    <row r="22" customFormat="false" ht="29.85" hidden="false" customHeight="false" outlineLevel="0" collapsed="false">
      <c r="A22" s="14" t="s">
        <v>76</v>
      </c>
      <c r="B22" s="14" t="s">
        <v>77</v>
      </c>
      <c r="C22" s="14" t="s">
        <v>78</v>
      </c>
      <c r="D22" s="15"/>
      <c r="E22" s="15"/>
      <c r="F22" s="16" t="s">
        <v>39</v>
      </c>
      <c r="G22" s="15" t="n">
        <v>0</v>
      </c>
      <c r="H22" s="13"/>
    </row>
    <row r="23" customFormat="false" ht="29.85" hidden="false" customHeight="false" outlineLevel="0" collapsed="false">
      <c r="A23" s="14" t="s">
        <v>79</v>
      </c>
      <c r="B23" s="14" t="s">
        <v>80</v>
      </c>
      <c r="C23" s="13"/>
      <c r="D23" s="15"/>
      <c r="E23" s="15"/>
      <c r="F23" s="16" t="s">
        <v>39</v>
      </c>
      <c r="G23" s="15" t="n">
        <v>0</v>
      </c>
      <c r="H23" s="13"/>
    </row>
    <row r="24" customFormat="false" ht="15" hidden="false" customHeight="false" outlineLevel="0" collapsed="false">
      <c r="A24" s="14" t="s">
        <v>81</v>
      </c>
      <c r="B24" s="14" t="s">
        <v>82</v>
      </c>
      <c r="C24" s="13"/>
      <c r="D24" s="15"/>
      <c r="E24" s="15"/>
      <c r="F24" s="16" t="s">
        <v>39</v>
      </c>
      <c r="G24" s="15" t="n">
        <v>3</v>
      </c>
      <c r="H24" s="13"/>
    </row>
    <row r="25" customFormat="false" ht="29.85" hidden="false" customHeight="false" outlineLevel="0" collapsed="false">
      <c r="A25" s="18" t="s">
        <v>83</v>
      </c>
      <c r="B25" s="18" t="s">
        <v>82</v>
      </c>
      <c r="C25" s="18" t="s">
        <v>84</v>
      </c>
      <c r="D25" s="19" t="n">
        <v>15000</v>
      </c>
      <c r="E25" s="19" t="n">
        <v>30000</v>
      </c>
      <c r="F25" s="20" t="s">
        <v>47</v>
      </c>
      <c r="G25" s="20" t="n">
        <v>0</v>
      </c>
      <c r="H25" s="17"/>
    </row>
    <row r="26" customFormat="false" ht="29.85" hidden="false" customHeight="false" outlineLevel="0" collapsed="false">
      <c r="A26" s="14" t="s">
        <v>85</v>
      </c>
      <c r="B26" s="14" t="s">
        <v>82</v>
      </c>
      <c r="C26" s="13"/>
      <c r="D26" s="15"/>
      <c r="E26" s="15"/>
      <c r="F26" s="16" t="s">
        <v>39</v>
      </c>
      <c r="G26" s="15" t="n">
        <v>0</v>
      </c>
      <c r="H26" s="13"/>
    </row>
    <row r="27" customFormat="false" ht="15" hidden="false" customHeight="false" outlineLevel="0" collapsed="false">
      <c r="A27" s="10" t="s">
        <v>86</v>
      </c>
      <c r="B27" s="10" t="s">
        <v>82</v>
      </c>
      <c r="C27" s="10" t="s">
        <v>87</v>
      </c>
      <c r="D27" s="21" t="n">
        <v>30000</v>
      </c>
      <c r="E27" s="21" t="n">
        <v>30000</v>
      </c>
      <c r="F27" s="12" t="s">
        <v>35</v>
      </c>
      <c r="G27" s="11" t="n">
        <v>7</v>
      </c>
      <c r="H27" s="9"/>
    </row>
    <row r="28" customFormat="false" ht="15" hidden="false" customHeight="false" outlineLevel="0" collapsed="false">
      <c r="A28" s="14" t="s">
        <v>88</v>
      </c>
      <c r="B28" s="14" t="s">
        <v>82</v>
      </c>
      <c r="C28" s="13"/>
      <c r="D28" s="15"/>
      <c r="E28" s="15"/>
      <c r="F28" s="16" t="s">
        <v>39</v>
      </c>
      <c r="G28" s="15" t="n">
        <v>0</v>
      </c>
      <c r="H28" s="13"/>
    </row>
    <row r="29" customFormat="false" ht="29.85" hidden="false" customHeight="false" outlineLevel="0" collapsed="false">
      <c r="A29" s="10" t="s">
        <v>89</v>
      </c>
      <c r="B29" s="10" t="s">
        <v>82</v>
      </c>
      <c r="C29" s="10" t="s">
        <v>90</v>
      </c>
      <c r="D29" s="21" t="n">
        <v>5000</v>
      </c>
      <c r="E29" s="21" t="n">
        <v>10000</v>
      </c>
      <c r="F29" s="12" t="s">
        <v>35</v>
      </c>
      <c r="G29" s="11" t="n">
        <v>0</v>
      </c>
      <c r="H29" s="9"/>
    </row>
    <row r="30" customFormat="false" ht="15" hidden="false" customHeight="false" outlineLevel="0" collapsed="false">
      <c r="A30" s="10" t="s">
        <v>91</v>
      </c>
      <c r="B30" s="10" t="s">
        <v>92</v>
      </c>
      <c r="C30" s="10" t="s">
        <v>34</v>
      </c>
      <c r="D30" s="11"/>
      <c r="E30" s="11"/>
      <c r="F30" s="12" t="s">
        <v>35</v>
      </c>
      <c r="G30" s="11" t="n">
        <v>7</v>
      </c>
      <c r="H30" s="9"/>
    </row>
    <row r="31" customFormat="false" ht="15" hidden="false" customHeight="false" outlineLevel="0" collapsed="false">
      <c r="A31" s="10" t="s">
        <v>93</v>
      </c>
      <c r="B31" s="10" t="s">
        <v>92</v>
      </c>
      <c r="C31" s="10" t="s">
        <v>34</v>
      </c>
      <c r="D31" s="11"/>
      <c r="E31" s="11"/>
      <c r="F31" s="12" t="s">
        <v>35</v>
      </c>
      <c r="G31" s="11" t="n">
        <v>15</v>
      </c>
      <c r="H31" s="9"/>
    </row>
    <row r="32" customFormat="false" ht="15" hidden="false" customHeight="false" outlineLevel="0" collapsed="false">
      <c r="A32" s="10" t="s">
        <v>94</v>
      </c>
      <c r="B32" s="10" t="s">
        <v>92</v>
      </c>
      <c r="C32" s="10" t="s">
        <v>34</v>
      </c>
      <c r="D32" s="11"/>
      <c r="E32" s="11"/>
      <c r="F32" s="12" t="s">
        <v>35</v>
      </c>
      <c r="G32" s="11" t="n">
        <v>15</v>
      </c>
      <c r="H32" s="9"/>
    </row>
    <row r="33" customFormat="false" ht="15" hidden="false" customHeight="false" outlineLevel="0" collapsed="false">
      <c r="A33" s="10" t="s">
        <v>95</v>
      </c>
      <c r="B33" s="10" t="s">
        <v>92</v>
      </c>
      <c r="C33" s="10" t="s">
        <v>34</v>
      </c>
      <c r="D33" s="11"/>
      <c r="E33" s="11"/>
      <c r="F33" s="12" t="s">
        <v>35</v>
      </c>
      <c r="G33" s="11" t="n">
        <v>5</v>
      </c>
      <c r="H33" s="9"/>
    </row>
    <row r="34" customFormat="false" ht="15" hidden="false" customHeight="false" outlineLevel="0" collapsed="false">
      <c r="A34" s="10" t="s">
        <v>96</v>
      </c>
      <c r="B34" s="10" t="s">
        <v>92</v>
      </c>
      <c r="C34" s="10" t="s">
        <v>57</v>
      </c>
      <c r="D34" s="11"/>
      <c r="E34" s="11"/>
      <c r="F34" s="12" t="s">
        <v>35</v>
      </c>
      <c r="G34" s="11" t="n">
        <v>5</v>
      </c>
      <c r="H34" s="9"/>
    </row>
    <row r="35" customFormat="false" ht="15" hidden="false" customHeight="false" outlineLevel="0" collapsed="false">
      <c r="A35" s="14" t="s">
        <v>97</v>
      </c>
      <c r="B35" s="14" t="s">
        <v>98</v>
      </c>
      <c r="C35" s="13"/>
      <c r="D35" s="15"/>
      <c r="E35" s="15"/>
      <c r="F35" s="16" t="s">
        <v>39</v>
      </c>
      <c r="G35" s="15" t="n">
        <v>15</v>
      </c>
      <c r="H35" s="13"/>
    </row>
    <row r="36" customFormat="false" ht="15" hidden="false" customHeight="false" outlineLevel="0" collapsed="false">
      <c r="A36" s="14" t="s">
        <v>99</v>
      </c>
      <c r="B36" s="14" t="s">
        <v>98</v>
      </c>
      <c r="C36" s="13"/>
      <c r="D36" s="15"/>
      <c r="E36" s="15"/>
      <c r="F36" s="16" t="s">
        <v>39</v>
      </c>
      <c r="G36" s="15" t="n">
        <v>30</v>
      </c>
      <c r="H36" s="13"/>
    </row>
    <row r="37" customFormat="false" ht="15" hidden="false" customHeight="false" outlineLevel="0" collapsed="false">
      <c r="A37" s="14" t="s">
        <v>100</v>
      </c>
      <c r="B37" s="14" t="s">
        <v>98</v>
      </c>
      <c r="C37" s="13"/>
      <c r="D37" s="15"/>
      <c r="E37" s="15"/>
      <c r="F37" s="16" t="s">
        <v>39</v>
      </c>
      <c r="G37" s="15" t="n">
        <v>30</v>
      </c>
      <c r="H37" s="13"/>
    </row>
    <row r="38" customFormat="false" ht="15" hidden="false" customHeight="false" outlineLevel="0" collapsed="false">
      <c r="A38" s="14" t="s">
        <v>101</v>
      </c>
      <c r="B38" s="14" t="s">
        <v>98</v>
      </c>
      <c r="C38" s="13"/>
      <c r="D38" s="15"/>
      <c r="E38" s="15"/>
      <c r="F38" s="16" t="s">
        <v>39</v>
      </c>
      <c r="G38" s="15" t="n">
        <v>0</v>
      </c>
      <c r="H38" s="13"/>
    </row>
    <row r="39" customFormat="false" ht="15" hidden="false" customHeight="false" outlineLevel="0" collapsed="false">
      <c r="A39" s="10" t="s">
        <v>102</v>
      </c>
      <c r="B39" s="10" t="s">
        <v>103</v>
      </c>
      <c r="C39" s="9" t="s">
        <v>104</v>
      </c>
      <c r="D39" s="11"/>
      <c r="E39" s="11"/>
      <c r="F39" s="12" t="s">
        <v>35</v>
      </c>
      <c r="G39" s="11" t="n">
        <v>7</v>
      </c>
      <c r="H39" s="9"/>
    </row>
    <row r="40" customFormat="false" ht="29.85" hidden="false" customHeight="false" outlineLevel="0" collapsed="false">
      <c r="A40" s="10" t="s">
        <v>105</v>
      </c>
      <c r="B40" s="10" t="s">
        <v>103</v>
      </c>
      <c r="C40" s="9" t="s">
        <v>104</v>
      </c>
      <c r="D40" s="11"/>
      <c r="E40" s="11"/>
      <c r="F40" s="12" t="s">
        <v>35</v>
      </c>
      <c r="G40" s="11" t="n">
        <v>12</v>
      </c>
      <c r="H40" s="9"/>
    </row>
    <row r="41" customFormat="false" ht="15" hidden="false" customHeight="false" outlineLevel="0" collapsed="false">
      <c r="A41" s="18" t="s">
        <v>106</v>
      </c>
      <c r="B41" s="18" t="s">
        <v>80</v>
      </c>
      <c r="C41" s="17" t="s">
        <v>107</v>
      </c>
      <c r="D41" s="19" t="n">
        <v>800</v>
      </c>
      <c r="E41" s="19" t="n">
        <v>800</v>
      </c>
      <c r="F41" s="20" t="s">
        <v>47</v>
      </c>
      <c r="G41" s="20" t="n">
        <v>0</v>
      </c>
      <c r="H41" s="17"/>
    </row>
    <row r="42" customFormat="false" ht="15" hidden="false" customHeight="false" outlineLevel="0" collapsed="false">
      <c r="A42" s="14" t="s">
        <v>108</v>
      </c>
      <c r="B42" s="14" t="s">
        <v>109</v>
      </c>
      <c r="C42" s="13"/>
      <c r="D42" s="15"/>
      <c r="E42" s="15"/>
      <c r="F42" s="16" t="s">
        <v>39</v>
      </c>
      <c r="G42" s="15" t="n">
        <v>5</v>
      </c>
      <c r="H42" s="13"/>
    </row>
    <row r="43" customFormat="false" ht="15" hidden="false" customHeight="false" outlineLevel="0" collapsed="false">
      <c r="A43" s="18" t="s">
        <v>110</v>
      </c>
      <c r="B43" s="18" t="s">
        <v>109</v>
      </c>
      <c r="C43" s="17" t="s">
        <v>111</v>
      </c>
      <c r="D43" s="19" t="n">
        <v>3000</v>
      </c>
      <c r="E43" s="19" t="n">
        <v>3000</v>
      </c>
      <c r="F43" s="20" t="s">
        <v>47</v>
      </c>
      <c r="G43" s="20" t="n">
        <v>15</v>
      </c>
      <c r="H43" s="17"/>
    </row>
    <row r="44" customFormat="false" ht="15" hidden="false" customHeight="false" outlineLevel="0" collapsed="false">
      <c r="A44" s="18" t="s">
        <v>112</v>
      </c>
      <c r="B44" s="18" t="s">
        <v>82</v>
      </c>
      <c r="C44" s="18" t="s">
        <v>113</v>
      </c>
      <c r="D44" s="19" t="n">
        <v>15000</v>
      </c>
      <c r="E44" s="19" t="n">
        <v>23000</v>
      </c>
      <c r="F44" s="20" t="s">
        <v>47</v>
      </c>
      <c r="G44" s="20" t="n">
        <v>10</v>
      </c>
      <c r="H44" s="17"/>
    </row>
    <row r="45" customFormat="false" ht="15" hidden="false" customHeight="false" outlineLevel="0" collapsed="false">
      <c r="A45" s="10" t="s">
        <v>114</v>
      </c>
      <c r="B45" s="10" t="s">
        <v>82</v>
      </c>
      <c r="C45" s="10" t="s">
        <v>115</v>
      </c>
      <c r="D45" s="21" t="n">
        <v>23000</v>
      </c>
      <c r="E45" s="21" t="n">
        <v>23000</v>
      </c>
      <c r="F45" s="12" t="s">
        <v>35</v>
      </c>
      <c r="G45" s="11" t="n">
        <v>7</v>
      </c>
      <c r="H45" s="9"/>
    </row>
    <row r="46" customFormat="false" ht="15" hidden="false" customHeight="false" outlineLevel="0" collapsed="false">
      <c r="A46" s="10" t="s">
        <v>116</v>
      </c>
      <c r="B46" s="10" t="s">
        <v>82</v>
      </c>
      <c r="C46" s="10" t="s">
        <v>117</v>
      </c>
      <c r="D46" s="21" t="n">
        <v>23000</v>
      </c>
      <c r="E46" s="21" t="n">
        <v>23000</v>
      </c>
      <c r="F46" s="12" t="s">
        <v>35</v>
      </c>
      <c r="G46" s="11" t="n">
        <v>10</v>
      </c>
      <c r="H46" s="9"/>
    </row>
    <row r="47" customFormat="false" ht="15" hidden="false" customHeight="false" outlineLevel="0" collapsed="false">
      <c r="A47" s="10" t="s">
        <v>118</v>
      </c>
      <c r="B47" s="10" t="s">
        <v>119</v>
      </c>
      <c r="C47" s="10" t="s">
        <v>34</v>
      </c>
      <c r="D47" s="11"/>
      <c r="E47" s="11"/>
      <c r="F47" s="12" t="s">
        <v>35</v>
      </c>
      <c r="G47" s="11" t="n">
        <v>1</v>
      </c>
      <c r="H47" s="9"/>
    </row>
    <row r="48" customFormat="false" ht="15" hidden="false" customHeight="false" outlineLevel="0" collapsed="false">
      <c r="A48" s="14" t="s">
        <v>120</v>
      </c>
      <c r="B48" s="14" t="s">
        <v>98</v>
      </c>
      <c r="C48" s="13"/>
      <c r="D48" s="15"/>
      <c r="E48" s="15"/>
      <c r="F48" s="16" t="s">
        <v>39</v>
      </c>
      <c r="G48" s="15" t="n">
        <v>7</v>
      </c>
      <c r="H48" s="13"/>
    </row>
    <row r="49" customFormat="false" ht="29.85" hidden="false" customHeight="false" outlineLevel="0" collapsed="false">
      <c r="A49" s="10" t="s">
        <v>121</v>
      </c>
      <c r="B49" s="10" t="s">
        <v>122</v>
      </c>
      <c r="C49" s="10" t="s">
        <v>57</v>
      </c>
      <c r="D49" s="11"/>
      <c r="E49" s="11"/>
      <c r="F49" s="12" t="s">
        <v>35</v>
      </c>
      <c r="G49" s="11" t="n">
        <v>7</v>
      </c>
      <c r="H49" s="9"/>
    </row>
    <row r="50" customFormat="false" ht="15" hidden="false" customHeight="false" outlineLevel="0" collapsed="false">
      <c r="A50" s="14" t="s">
        <v>123</v>
      </c>
      <c r="B50" s="14" t="s">
        <v>124</v>
      </c>
      <c r="C50" s="13"/>
      <c r="D50" s="15"/>
      <c r="E50" s="15"/>
      <c r="F50" s="16" t="s">
        <v>39</v>
      </c>
      <c r="G50" s="15" t="n">
        <v>0</v>
      </c>
      <c r="H50" s="13"/>
    </row>
    <row r="51" customFormat="false" ht="15" hidden="false" customHeight="false" outlineLevel="0" collapsed="false">
      <c r="A51" s="18" t="s">
        <v>125</v>
      </c>
      <c r="B51" s="18" t="s">
        <v>124</v>
      </c>
      <c r="C51" s="17" t="s">
        <v>126</v>
      </c>
      <c r="D51" s="19" t="n">
        <v>28000</v>
      </c>
      <c r="E51" s="19" t="n">
        <v>28000</v>
      </c>
      <c r="F51" s="20" t="s">
        <v>47</v>
      </c>
      <c r="G51" s="20" t="n">
        <v>3</v>
      </c>
      <c r="H51" s="17"/>
    </row>
    <row r="52" customFormat="false" ht="44" hidden="false" customHeight="false" outlineLevel="0" collapsed="false">
      <c r="A52" s="10" t="s">
        <v>127</v>
      </c>
      <c r="B52" s="10" t="s">
        <v>124</v>
      </c>
      <c r="C52" s="9" t="s">
        <v>128</v>
      </c>
      <c r="D52" s="11"/>
      <c r="E52" s="11"/>
      <c r="F52" s="12" t="s">
        <v>35</v>
      </c>
      <c r="G52" s="11" t="n">
        <v>3</v>
      </c>
      <c r="H52" s="9"/>
    </row>
    <row r="53" customFormat="false" ht="15" hidden="false" customHeight="false" outlineLevel="0" collapsed="false">
      <c r="A53" s="18" t="s">
        <v>129</v>
      </c>
      <c r="B53" s="18" t="s">
        <v>124</v>
      </c>
      <c r="C53" s="17" t="s">
        <v>130</v>
      </c>
      <c r="D53" s="19" t="n">
        <v>9300</v>
      </c>
      <c r="E53" s="19" t="n">
        <v>9300</v>
      </c>
      <c r="F53" s="20" t="s">
        <v>47</v>
      </c>
      <c r="G53" s="20" t="n">
        <v>3</v>
      </c>
      <c r="H53" s="17"/>
    </row>
    <row r="54" customFormat="false" ht="15" hidden="false" customHeight="false" outlineLevel="0" collapsed="false">
      <c r="A54" s="14" t="s">
        <v>131</v>
      </c>
      <c r="B54" s="14" t="s">
        <v>132</v>
      </c>
      <c r="C54" s="13"/>
      <c r="D54" s="15"/>
      <c r="E54" s="15"/>
      <c r="F54" s="16" t="s">
        <v>39</v>
      </c>
      <c r="G54" s="15" t="n">
        <v>0</v>
      </c>
      <c r="H54" s="13"/>
    </row>
    <row r="55" customFormat="false" ht="15" hidden="false" customHeight="false" outlineLevel="0" collapsed="false">
      <c r="A55" s="14" t="s">
        <v>133</v>
      </c>
      <c r="B55" s="14" t="s">
        <v>132</v>
      </c>
      <c r="C55" s="13"/>
      <c r="D55" s="15"/>
      <c r="E55" s="15"/>
      <c r="F55" s="16" t="s">
        <v>39</v>
      </c>
      <c r="G55" s="15"/>
      <c r="H55" s="13"/>
    </row>
    <row r="56" customFormat="false" ht="15" hidden="false" customHeight="false" outlineLevel="0" collapsed="false">
      <c r="A56" s="14" t="s">
        <v>134</v>
      </c>
      <c r="B56" s="14" t="s">
        <v>132</v>
      </c>
      <c r="C56" s="13"/>
      <c r="D56" s="15"/>
      <c r="E56" s="15"/>
      <c r="F56" s="16" t="s">
        <v>39</v>
      </c>
      <c r="G56" s="15"/>
      <c r="H56" s="13"/>
    </row>
    <row r="57" customFormat="false" ht="15" hidden="false" customHeight="false" outlineLevel="0" collapsed="false">
      <c r="A57" s="18" t="s">
        <v>135</v>
      </c>
      <c r="B57" s="18" t="s">
        <v>98</v>
      </c>
      <c r="C57" s="18" t="s">
        <v>136</v>
      </c>
      <c r="D57" s="19" t="n">
        <v>6600</v>
      </c>
      <c r="E57" s="19" t="n">
        <v>15000</v>
      </c>
      <c r="F57" s="20" t="s">
        <v>47</v>
      </c>
      <c r="G57" s="20" t="n">
        <v>14</v>
      </c>
      <c r="H57" s="17"/>
    </row>
    <row r="58" customFormat="false" ht="15" hidden="false" customHeight="false" outlineLevel="0" collapsed="false">
      <c r="A58" s="18" t="s">
        <v>137</v>
      </c>
      <c r="B58" s="18" t="s">
        <v>138</v>
      </c>
      <c r="C58" s="18" t="s">
        <v>139</v>
      </c>
      <c r="D58" s="19" t="n">
        <v>500</v>
      </c>
      <c r="E58" s="19" t="n">
        <v>500</v>
      </c>
      <c r="F58" s="20" t="s">
        <v>47</v>
      </c>
      <c r="G58" s="20" t="n">
        <v>0</v>
      </c>
      <c r="H58" s="17"/>
    </row>
    <row r="59" customFormat="false" ht="15" hidden="false" customHeight="false" outlineLevel="0" collapsed="false">
      <c r="A59" s="18" t="s">
        <v>140</v>
      </c>
      <c r="B59" s="18" t="s">
        <v>138</v>
      </c>
      <c r="C59" s="18" t="s">
        <v>141</v>
      </c>
      <c r="D59" s="19" t="n">
        <v>1000</v>
      </c>
      <c r="E59" s="19" t="n">
        <v>1000</v>
      </c>
      <c r="F59" s="20" t="s">
        <v>47</v>
      </c>
      <c r="G59" s="20" t="n">
        <v>0</v>
      </c>
      <c r="H59" s="17"/>
    </row>
    <row r="60" customFormat="false" ht="15" hidden="false" customHeight="false" outlineLevel="0" collapsed="false">
      <c r="A60" s="18" t="s">
        <v>142</v>
      </c>
      <c r="B60" s="18" t="s">
        <v>138</v>
      </c>
      <c r="C60" s="18" t="s">
        <v>143</v>
      </c>
      <c r="D60" s="19" t="n">
        <v>1000</v>
      </c>
      <c r="E60" s="19" t="n">
        <v>1000</v>
      </c>
      <c r="F60" s="20" t="s">
        <v>47</v>
      </c>
      <c r="G60" s="20" t="n">
        <v>0</v>
      </c>
      <c r="H60" s="17"/>
    </row>
    <row r="61" customFormat="false" ht="15" hidden="false" customHeight="false" outlineLevel="0" collapsed="false">
      <c r="A61" s="14" t="s">
        <v>144</v>
      </c>
      <c r="B61" s="14" t="s">
        <v>138</v>
      </c>
      <c r="C61" s="13"/>
      <c r="D61" s="15"/>
      <c r="E61" s="15"/>
      <c r="F61" s="16" t="s">
        <v>39</v>
      </c>
      <c r="G61" s="15" t="n">
        <v>0</v>
      </c>
      <c r="H61" s="13"/>
    </row>
    <row r="62" customFormat="false" ht="15" hidden="false" customHeight="false" outlineLevel="0" collapsed="false">
      <c r="A62" s="14" t="s">
        <v>145</v>
      </c>
      <c r="B62" s="13"/>
      <c r="C62" s="13"/>
      <c r="D62" s="15"/>
      <c r="E62" s="15"/>
      <c r="F62" s="16" t="s">
        <v>39</v>
      </c>
      <c r="G62" s="15" t="n">
        <v>0</v>
      </c>
      <c r="H62" s="13"/>
    </row>
    <row r="63" customFormat="false" ht="15" hidden="false" customHeight="false" outlineLevel="0" collapsed="false">
      <c r="A63" s="18" t="s">
        <v>146</v>
      </c>
      <c r="B63" s="18" t="s">
        <v>147</v>
      </c>
      <c r="C63" s="17" t="s">
        <v>148</v>
      </c>
      <c r="D63" s="19" t="n">
        <v>30000</v>
      </c>
      <c r="E63" s="19" t="n">
        <v>30000</v>
      </c>
      <c r="F63" s="20" t="s">
        <v>47</v>
      </c>
      <c r="G63" s="20" t="n">
        <v>10</v>
      </c>
      <c r="H63" s="17"/>
    </row>
    <row r="64" customFormat="false" ht="15" hidden="false" customHeight="false" outlineLevel="0" collapsed="false">
      <c r="A64" s="18" t="s">
        <v>149</v>
      </c>
      <c r="B64" s="18" t="s">
        <v>138</v>
      </c>
      <c r="C64" s="18" t="s">
        <v>150</v>
      </c>
      <c r="D64" s="19" t="n">
        <v>4000</v>
      </c>
      <c r="E64" s="19" t="n">
        <v>4000</v>
      </c>
      <c r="F64" s="20" t="s">
        <v>47</v>
      </c>
      <c r="G64" s="20" t="n">
        <v>0</v>
      </c>
      <c r="H64" s="17"/>
    </row>
    <row r="65" customFormat="false" ht="15" hidden="false" customHeight="false" outlineLevel="0" collapsed="false">
      <c r="A65" s="14" t="s">
        <v>151</v>
      </c>
      <c r="B65" s="14" t="s">
        <v>138</v>
      </c>
      <c r="C65" s="13"/>
      <c r="D65" s="15"/>
      <c r="E65" s="15"/>
      <c r="F65" s="16" t="s">
        <v>39</v>
      </c>
      <c r="G65" s="15" t="n">
        <v>0</v>
      </c>
      <c r="H65" s="13"/>
    </row>
    <row r="66" customFormat="false" ht="15" hidden="false" customHeight="false" outlineLevel="0" collapsed="false">
      <c r="A66" s="10" t="s">
        <v>152</v>
      </c>
      <c r="B66" s="10" t="s">
        <v>138</v>
      </c>
      <c r="C66" s="9" t="s">
        <v>153</v>
      </c>
      <c r="D66" s="21" t="n">
        <v>500</v>
      </c>
      <c r="E66" s="21" t="n">
        <v>500</v>
      </c>
      <c r="F66" s="12" t="s">
        <v>35</v>
      </c>
      <c r="G66" s="11" t="n">
        <v>0</v>
      </c>
      <c r="H66" s="9"/>
    </row>
    <row r="67" customFormat="false" ht="15" hidden="false" customHeight="false" outlineLevel="0" collapsed="false">
      <c r="A67" s="18" t="s">
        <v>154</v>
      </c>
      <c r="B67" s="18" t="s">
        <v>147</v>
      </c>
      <c r="C67" s="17" t="s">
        <v>148</v>
      </c>
      <c r="D67" s="19" t="n">
        <v>30000</v>
      </c>
      <c r="E67" s="19" t="n">
        <v>30000</v>
      </c>
      <c r="F67" s="20" t="s">
        <v>47</v>
      </c>
      <c r="G67" s="20" t="n">
        <v>10</v>
      </c>
      <c r="H67" s="17"/>
    </row>
    <row r="68" customFormat="false" ht="15" hidden="false" customHeight="false" outlineLevel="0" collapsed="false">
      <c r="A68" s="10" t="s">
        <v>155</v>
      </c>
      <c r="B68" s="10" t="s">
        <v>147</v>
      </c>
      <c r="C68" s="10" t="s">
        <v>34</v>
      </c>
      <c r="D68" s="11"/>
      <c r="E68" s="11"/>
      <c r="F68" s="12" t="s">
        <v>35</v>
      </c>
      <c r="G68" s="11" t="n">
        <v>10</v>
      </c>
      <c r="H68" s="9"/>
    </row>
    <row r="69" customFormat="false" ht="15" hidden="false" customHeight="false" outlineLevel="0" collapsed="false">
      <c r="A69" s="10" t="s">
        <v>156</v>
      </c>
      <c r="B69" s="10" t="s">
        <v>147</v>
      </c>
      <c r="C69" s="9" t="s">
        <v>157</v>
      </c>
      <c r="D69" s="21" t="n">
        <v>500</v>
      </c>
      <c r="E69" s="21" t="n">
        <v>500</v>
      </c>
      <c r="F69" s="12" t="s">
        <v>35</v>
      </c>
      <c r="G69" s="11" t="n">
        <v>5</v>
      </c>
      <c r="H69" s="9"/>
    </row>
    <row r="70" customFormat="false" ht="15" hidden="false" customHeight="false" outlineLevel="0" collapsed="false">
      <c r="A70" s="18" t="s">
        <v>158</v>
      </c>
      <c r="B70" s="18" t="s">
        <v>147</v>
      </c>
      <c r="C70" s="17" t="s">
        <v>159</v>
      </c>
      <c r="D70" s="19" t="n">
        <v>500</v>
      </c>
      <c r="E70" s="19" t="n">
        <v>500</v>
      </c>
      <c r="F70" s="20" t="s">
        <v>47</v>
      </c>
      <c r="G70" s="20" t="n">
        <v>0</v>
      </c>
      <c r="H70" s="17"/>
    </row>
    <row r="71" customFormat="false" ht="15" hidden="false" customHeight="false" outlineLevel="0" collapsed="false">
      <c r="A71" s="18" t="s">
        <v>160</v>
      </c>
      <c r="B71" s="18" t="s">
        <v>147</v>
      </c>
      <c r="C71" s="17" t="s">
        <v>161</v>
      </c>
      <c r="D71" s="19" t="n">
        <v>5000</v>
      </c>
      <c r="E71" s="19" t="n">
        <v>5000</v>
      </c>
      <c r="F71" s="20" t="s">
        <v>47</v>
      </c>
      <c r="G71" s="20" t="n">
        <v>5</v>
      </c>
      <c r="H71" s="17"/>
    </row>
    <row r="72" customFormat="false" ht="15" hidden="false" customHeight="false" outlineLevel="0" collapsed="false">
      <c r="A72" s="18" t="s">
        <v>162</v>
      </c>
      <c r="B72" s="18" t="s">
        <v>147</v>
      </c>
      <c r="C72" s="17" t="s">
        <v>148</v>
      </c>
      <c r="D72" s="19" t="n">
        <v>30000</v>
      </c>
      <c r="E72" s="19" t="n">
        <v>30000</v>
      </c>
      <c r="F72" s="20" t="s">
        <v>47</v>
      </c>
      <c r="G72" s="20" t="n">
        <v>18</v>
      </c>
      <c r="H72" s="17"/>
    </row>
    <row r="73" customFormat="false" ht="15" hidden="false" customHeight="false" outlineLevel="0" collapsed="false">
      <c r="A73" s="18" t="s">
        <v>163</v>
      </c>
      <c r="B73" s="18" t="s">
        <v>138</v>
      </c>
      <c r="C73" s="18" t="s">
        <v>164</v>
      </c>
      <c r="D73" s="19" t="n">
        <v>2500</v>
      </c>
      <c r="E73" s="19" t="n">
        <v>2500</v>
      </c>
      <c r="F73" s="20" t="s">
        <v>47</v>
      </c>
      <c r="G73" s="20" t="n">
        <v>0</v>
      </c>
      <c r="H73" s="17"/>
    </row>
    <row r="74" customFormat="false" ht="15" hidden="false" customHeight="false" outlineLevel="0" collapsed="false">
      <c r="A74" s="18" t="s">
        <v>165</v>
      </c>
      <c r="B74" s="18" t="s">
        <v>138</v>
      </c>
      <c r="C74" s="17" t="s">
        <v>166</v>
      </c>
      <c r="D74" s="19" t="n">
        <v>2500</v>
      </c>
      <c r="E74" s="19" t="n">
        <v>2500</v>
      </c>
      <c r="F74" s="20" t="s">
        <v>47</v>
      </c>
      <c r="G74" s="20" t="n">
        <v>0</v>
      </c>
      <c r="H74" s="17"/>
    </row>
    <row r="75" customFormat="false" ht="15" hidden="false" customHeight="false" outlineLevel="0" collapsed="false">
      <c r="A75" s="10" t="s">
        <v>167</v>
      </c>
      <c r="B75" s="10" t="s">
        <v>138</v>
      </c>
      <c r="C75" s="10" t="s">
        <v>57</v>
      </c>
      <c r="D75" s="11"/>
      <c r="E75" s="11"/>
      <c r="F75" s="12" t="s">
        <v>35</v>
      </c>
      <c r="G75" s="11" t="n">
        <v>0</v>
      </c>
      <c r="H75" s="9"/>
    </row>
    <row r="76" customFormat="false" ht="29.85" hidden="false" customHeight="false" outlineLevel="0" collapsed="false">
      <c r="A76" s="18" t="s">
        <v>168</v>
      </c>
      <c r="B76" s="18" t="s">
        <v>169</v>
      </c>
      <c r="C76" s="18" t="s">
        <v>170</v>
      </c>
      <c r="D76" s="19" t="n">
        <v>10000</v>
      </c>
      <c r="E76" s="19" t="n">
        <v>20000</v>
      </c>
      <c r="F76" s="20" t="s">
        <v>47</v>
      </c>
      <c r="G76" s="20" t="n">
        <v>20</v>
      </c>
      <c r="H76" s="17"/>
    </row>
    <row r="77" customFormat="false" ht="15" hidden="false" customHeight="false" outlineLevel="0" collapsed="false">
      <c r="A77" s="10" t="s">
        <v>171</v>
      </c>
      <c r="B77" s="10" t="s">
        <v>169</v>
      </c>
      <c r="C77" s="10" t="s">
        <v>57</v>
      </c>
      <c r="D77" s="11"/>
      <c r="E77" s="11"/>
      <c r="F77" s="12" t="s">
        <v>35</v>
      </c>
      <c r="G77" s="11" t="n">
        <v>0</v>
      </c>
      <c r="H77" s="9"/>
    </row>
    <row r="78" customFormat="false" ht="15" hidden="false" customHeight="false" outlineLevel="0" collapsed="false">
      <c r="A78" s="18" t="s">
        <v>172</v>
      </c>
      <c r="B78" s="18" t="s">
        <v>169</v>
      </c>
      <c r="C78" s="17" t="s">
        <v>173</v>
      </c>
      <c r="D78" s="20"/>
      <c r="E78" s="20"/>
      <c r="F78" s="20" t="s">
        <v>47</v>
      </c>
      <c r="G78" s="20" t="n">
        <v>1</v>
      </c>
      <c r="H78" s="17"/>
    </row>
    <row r="79" customFormat="false" ht="15" hidden="false" customHeight="false" outlineLevel="0" collapsed="false">
      <c r="A79" s="10" t="s">
        <v>174</v>
      </c>
      <c r="B79" s="10" t="s">
        <v>169</v>
      </c>
      <c r="C79" s="10" t="s">
        <v>57</v>
      </c>
      <c r="D79" s="11"/>
      <c r="E79" s="11"/>
      <c r="F79" s="12" t="s">
        <v>35</v>
      </c>
      <c r="G79" s="11" t="n">
        <v>0</v>
      </c>
      <c r="H79" s="9"/>
    </row>
    <row r="80" customFormat="false" ht="15" hidden="false" customHeight="false" outlineLevel="0" collapsed="false">
      <c r="A80" s="14" t="s">
        <v>175</v>
      </c>
      <c r="B80" s="14" t="s">
        <v>176</v>
      </c>
      <c r="C80" s="13"/>
      <c r="D80" s="15"/>
      <c r="E80" s="15"/>
      <c r="F80" s="16" t="s">
        <v>39</v>
      </c>
      <c r="G80" s="15" t="n">
        <v>30</v>
      </c>
      <c r="H80" s="13"/>
    </row>
    <row r="81" customFormat="false" ht="29.85" hidden="false" customHeight="false" outlineLevel="0" collapsed="false">
      <c r="A81" s="14" t="s">
        <v>177</v>
      </c>
      <c r="B81" s="14" t="s">
        <v>41</v>
      </c>
      <c r="C81" s="13"/>
      <c r="D81" s="15"/>
      <c r="E81" s="15"/>
      <c r="F81" s="16" t="s">
        <v>39</v>
      </c>
      <c r="G81" s="15" t="n">
        <v>3</v>
      </c>
      <c r="H81" s="13"/>
    </row>
    <row r="82" customFormat="false" ht="15" hidden="false" customHeight="false" outlineLevel="0" collapsed="false">
      <c r="A82" s="14" t="s">
        <v>178</v>
      </c>
      <c r="B82" s="14" t="s">
        <v>176</v>
      </c>
      <c r="C82" s="13"/>
      <c r="D82" s="15"/>
      <c r="E82" s="15"/>
      <c r="F82" s="16" t="s">
        <v>39</v>
      </c>
      <c r="G82" s="15" t="n">
        <v>10</v>
      </c>
      <c r="H82" s="13"/>
    </row>
    <row r="83" customFormat="false" ht="15" hidden="false" customHeight="false" outlineLevel="0" collapsed="false">
      <c r="A83" s="14" t="s">
        <v>179</v>
      </c>
      <c r="B83" s="14" t="s">
        <v>176</v>
      </c>
      <c r="C83" s="13"/>
      <c r="D83" s="15"/>
      <c r="E83" s="15"/>
      <c r="F83" s="16" t="s">
        <v>39</v>
      </c>
      <c r="G83" s="15" t="n">
        <v>10</v>
      </c>
      <c r="H83" s="13"/>
    </row>
    <row r="84" customFormat="false" ht="15" hidden="false" customHeight="false" outlineLevel="0" collapsed="false">
      <c r="A84" s="14" t="s">
        <v>180</v>
      </c>
      <c r="B84" s="14" t="s">
        <v>176</v>
      </c>
      <c r="C84" s="13"/>
      <c r="D84" s="15"/>
      <c r="E84" s="15"/>
      <c r="F84" s="16" t="s">
        <v>39</v>
      </c>
      <c r="G84" s="15" t="n">
        <v>10</v>
      </c>
      <c r="H84" s="13"/>
    </row>
    <row r="85" customFormat="false" ht="15" hidden="false" customHeight="false" outlineLevel="0" collapsed="false">
      <c r="A85" s="14" t="s">
        <v>181</v>
      </c>
      <c r="B85" s="14" t="s">
        <v>176</v>
      </c>
      <c r="C85" s="13"/>
      <c r="D85" s="15"/>
      <c r="E85" s="15"/>
      <c r="F85" s="16" t="s">
        <v>39</v>
      </c>
      <c r="G85" s="15" t="n">
        <v>10</v>
      </c>
      <c r="H85" s="13"/>
    </row>
    <row r="86" customFormat="false" ht="15" hidden="false" customHeight="false" outlineLevel="0" collapsed="false">
      <c r="A86" s="14" t="s">
        <v>182</v>
      </c>
      <c r="B86" s="14" t="s">
        <v>176</v>
      </c>
      <c r="C86" s="13"/>
      <c r="D86" s="15"/>
      <c r="E86" s="15"/>
      <c r="F86" s="16" t="s">
        <v>39</v>
      </c>
      <c r="G86" s="15" t="n">
        <v>7</v>
      </c>
      <c r="H86" s="13"/>
    </row>
    <row r="87" customFormat="false" ht="15" hidden="false" customHeight="false" outlineLevel="0" collapsed="false">
      <c r="A87" s="18" t="s">
        <v>183</v>
      </c>
      <c r="B87" s="18" t="s">
        <v>176</v>
      </c>
      <c r="C87" s="17" t="s">
        <v>184</v>
      </c>
      <c r="D87" s="19" t="n">
        <v>15000</v>
      </c>
      <c r="E87" s="19" t="n">
        <v>40000</v>
      </c>
      <c r="F87" s="20" t="s">
        <v>47</v>
      </c>
      <c r="G87" s="20" t="n">
        <v>10</v>
      </c>
      <c r="H87" s="17"/>
    </row>
    <row r="88" customFormat="false" ht="15" hidden="false" customHeight="false" outlineLevel="0" collapsed="false">
      <c r="A88" s="18" t="s">
        <v>185</v>
      </c>
      <c r="B88" s="18" t="s">
        <v>67</v>
      </c>
      <c r="C88" s="18" t="s">
        <v>65</v>
      </c>
      <c r="D88" s="20"/>
      <c r="E88" s="20"/>
      <c r="F88" s="20" t="s">
        <v>47</v>
      </c>
      <c r="G88" s="20" t="n">
        <v>1</v>
      </c>
      <c r="H88" s="17"/>
    </row>
    <row r="89" customFormat="false" ht="15" hidden="false" customHeight="false" outlineLevel="0" collapsed="false">
      <c r="A89" s="10" t="s">
        <v>186</v>
      </c>
      <c r="B89" s="10" t="s">
        <v>33</v>
      </c>
      <c r="C89" s="10" t="s">
        <v>57</v>
      </c>
      <c r="D89" s="11"/>
      <c r="E89" s="11"/>
      <c r="F89" s="12" t="s">
        <v>35</v>
      </c>
      <c r="G89" s="11" t="n">
        <v>1</v>
      </c>
      <c r="H89" s="9"/>
    </row>
    <row r="90" customFormat="false" ht="15" hidden="false" customHeight="false" outlineLevel="0" collapsed="false">
      <c r="A90" s="14" t="s">
        <v>187</v>
      </c>
      <c r="B90" s="14" t="s">
        <v>51</v>
      </c>
      <c r="C90" s="13"/>
      <c r="D90" s="15"/>
      <c r="E90" s="15"/>
      <c r="F90" s="16" t="s">
        <v>39</v>
      </c>
      <c r="G90" s="15" t="n">
        <v>7</v>
      </c>
      <c r="H90" s="13"/>
    </row>
    <row r="91" customFormat="false" ht="15" hidden="false" customHeight="false" outlineLevel="0" collapsed="false">
      <c r="A91" s="14" t="s">
        <v>188</v>
      </c>
      <c r="B91" s="14" t="s">
        <v>60</v>
      </c>
      <c r="C91" s="13"/>
      <c r="D91" s="15"/>
      <c r="E91" s="15"/>
      <c r="F91" s="16" t="s">
        <v>39</v>
      </c>
      <c r="G91" s="15" t="n">
        <v>0</v>
      </c>
      <c r="H91" s="13"/>
    </row>
    <row r="92" customFormat="false" ht="15" hidden="false" customHeight="false" outlineLevel="0" collapsed="false">
      <c r="A92" s="18" t="s">
        <v>189</v>
      </c>
      <c r="B92" s="18" t="s">
        <v>33</v>
      </c>
      <c r="C92" s="17" t="s">
        <v>190</v>
      </c>
      <c r="D92" s="19" t="n">
        <v>50000</v>
      </c>
      <c r="E92" s="19" t="n">
        <v>1600000</v>
      </c>
      <c r="F92" s="20" t="s">
        <v>47</v>
      </c>
      <c r="G92" s="20" t="n">
        <v>5</v>
      </c>
      <c r="H92" s="17"/>
    </row>
    <row r="93" customFormat="false" ht="15" hidden="false" customHeight="false" outlineLevel="0" collapsed="false">
      <c r="A93" s="10" t="s">
        <v>191</v>
      </c>
      <c r="B93" s="10" t="s">
        <v>67</v>
      </c>
      <c r="C93" s="10" t="s">
        <v>192</v>
      </c>
      <c r="D93" s="11"/>
      <c r="E93" s="11"/>
      <c r="F93" s="12" t="s">
        <v>35</v>
      </c>
      <c r="G93" s="11" t="n">
        <v>7</v>
      </c>
      <c r="H93" s="9"/>
    </row>
    <row r="94" customFormat="false" ht="29.85" hidden="false" customHeight="false" outlineLevel="0" collapsed="false">
      <c r="A94" s="10" t="s">
        <v>193</v>
      </c>
      <c r="B94" s="10" t="s">
        <v>119</v>
      </c>
      <c r="C94" s="10" t="s">
        <v>194</v>
      </c>
      <c r="D94" s="21" t="n">
        <v>300</v>
      </c>
      <c r="E94" s="21" t="n">
        <v>500</v>
      </c>
      <c r="F94" s="12" t="s">
        <v>35</v>
      </c>
      <c r="G94" s="11" t="n">
        <v>0</v>
      </c>
      <c r="H94" s="9"/>
    </row>
    <row r="95" customFormat="false" ht="15" hidden="false" customHeight="false" outlineLevel="0" collapsed="false">
      <c r="A95" s="10" t="s">
        <v>195</v>
      </c>
      <c r="B95" s="10" t="s">
        <v>67</v>
      </c>
      <c r="C95" s="10" t="s">
        <v>196</v>
      </c>
      <c r="D95" s="11"/>
      <c r="E95" s="11"/>
      <c r="F95" s="12" t="s">
        <v>35</v>
      </c>
      <c r="G95" s="11" t="n">
        <v>7</v>
      </c>
      <c r="H95" s="9"/>
    </row>
    <row r="96" customFormat="false" ht="15" hidden="false" customHeight="false" outlineLevel="0" collapsed="false">
      <c r="A96" s="10" t="s">
        <v>197</v>
      </c>
      <c r="B96" s="10" t="s">
        <v>67</v>
      </c>
      <c r="C96" s="10" t="s">
        <v>196</v>
      </c>
      <c r="D96" s="11"/>
      <c r="E96" s="11"/>
      <c r="F96" s="12" t="s">
        <v>35</v>
      </c>
      <c r="G96" s="11" t="n">
        <v>7</v>
      </c>
      <c r="H96" s="9"/>
    </row>
    <row r="97" customFormat="false" ht="15" hidden="false" customHeight="false" outlineLevel="0" collapsed="false">
      <c r="A97" s="10" t="s">
        <v>198</v>
      </c>
      <c r="B97" s="10" t="s">
        <v>67</v>
      </c>
      <c r="C97" s="10" t="s">
        <v>196</v>
      </c>
      <c r="D97" s="11"/>
      <c r="E97" s="11"/>
      <c r="F97" s="12" t="s">
        <v>35</v>
      </c>
      <c r="G97" s="11" t="n">
        <v>7</v>
      </c>
      <c r="H97" s="9"/>
    </row>
    <row r="98" customFormat="false" ht="15" hidden="false" customHeight="false" outlineLevel="0" collapsed="false">
      <c r="A98" s="14" t="s">
        <v>199</v>
      </c>
      <c r="B98" s="14" t="s">
        <v>60</v>
      </c>
      <c r="C98" s="13"/>
      <c r="D98" s="15"/>
      <c r="E98" s="15"/>
      <c r="F98" s="16" t="s">
        <v>39</v>
      </c>
      <c r="G98" s="15" t="n">
        <v>0</v>
      </c>
      <c r="H98" s="13"/>
    </row>
    <row r="99" customFormat="false" ht="15" hidden="false" customHeight="false" outlineLevel="0" collapsed="false">
      <c r="A99" s="10" t="s">
        <v>200</v>
      </c>
      <c r="B99" s="10" t="s">
        <v>67</v>
      </c>
      <c r="C99" s="10" t="s">
        <v>196</v>
      </c>
      <c r="D99" s="11"/>
      <c r="E99" s="11"/>
      <c r="F99" s="12" t="s">
        <v>35</v>
      </c>
      <c r="G99" s="11" t="n">
        <v>5</v>
      </c>
      <c r="H99" s="9"/>
    </row>
    <row r="100" customFormat="false" ht="15" hidden="false" customHeight="false" outlineLevel="0" collapsed="false">
      <c r="A100" s="10" t="s">
        <v>201</v>
      </c>
      <c r="B100" s="10" t="s">
        <v>67</v>
      </c>
      <c r="C100" s="10" t="s">
        <v>196</v>
      </c>
      <c r="D100" s="11"/>
      <c r="E100" s="11"/>
      <c r="F100" s="12" t="s">
        <v>35</v>
      </c>
      <c r="G100" s="11" t="n">
        <v>0</v>
      </c>
      <c r="H100" s="9"/>
    </row>
    <row r="101" customFormat="false" ht="15" hidden="false" customHeight="false" outlineLevel="0" collapsed="false">
      <c r="A101" s="18" t="s">
        <v>202</v>
      </c>
      <c r="B101" s="18" t="s">
        <v>67</v>
      </c>
      <c r="C101" s="18" t="s">
        <v>68</v>
      </c>
      <c r="D101" s="20"/>
      <c r="E101" s="20"/>
      <c r="F101" s="20" t="s">
        <v>47</v>
      </c>
      <c r="G101" s="20" t="n">
        <v>5</v>
      </c>
      <c r="H101" s="17"/>
    </row>
    <row r="102" customFormat="false" ht="29.85" hidden="false" customHeight="false" outlineLevel="0" collapsed="false">
      <c r="A102" s="18" t="s">
        <v>203</v>
      </c>
      <c r="B102" s="18" t="s">
        <v>204</v>
      </c>
      <c r="C102" s="18" t="s">
        <v>65</v>
      </c>
      <c r="D102" s="20"/>
      <c r="E102" s="20"/>
      <c r="F102" s="20" t="s">
        <v>47</v>
      </c>
      <c r="G102" s="20" t="n">
        <v>3</v>
      </c>
      <c r="H102" s="17"/>
    </row>
    <row r="103" customFormat="false" ht="15" hidden="false" customHeight="false" outlineLevel="0" collapsed="false">
      <c r="A103" s="14" t="s">
        <v>205</v>
      </c>
      <c r="B103" s="14" t="s">
        <v>60</v>
      </c>
      <c r="C103" s="13"/>
      <c r="D103" s="15"/>
      <c r="E103" s="15"/>
      <c r="F103" s="16" t="s">
        <v>39</v>
      </c>
      <c r="G103" s="15" t="n">
        <v>7</v>
      </c>
      <c r="H103" s="13"/>
    </row>
    <row r="104" customFormat="false" ht="15" hidden="false" customHeight="false" outlineLevel="0" collapsed="false">
      <c r="A104" s="10" t="s">
        <v>206</v>
      </c>
      <c r="B104" s="10" t="s">
        <v>67</v>
      </c>
      <c r="C104" s="10" t="s">
        <v>196</v>
      </c>
      <c r="D104" s="11"/>
      <c r="E104" s="11"/>
      <c r="F104" s="12" t="s">
        <v>35</v>
      </c>
      <c r="G104" s="11" t="n">
        <v>7</v>
      </c>
      <c r="H104" s="9"/>
    </row>
    <row r="105" customFormat="false" ht="29.85" hidden="false" customHeight="false" outlineLevel="0" collapsed="false">
      <c r="A105" s="18" t="s">
        <v>207</v>
      </c>
      <c r="B105" s="18" t="s">
        <v>204</v>
      </c>
      <c r="C105" s="17" t="s">
        <v>208</v>
      </c>
      <c r="D105" s="19" t="n">
        <v>50000</v>
      </c>
      <c r="E105" s="19" t="n">
        <v>1600000</v>
      </c>
      <c r="F105" s="20" t="s">
        <v>47</v>
      </c>
      <c r="G105" s="20" t="n">
        <v>5</v>
      </c>
      <c r="H105" s="17"/>
    </row>
    <row r="106" customFormat="false" ht="15" hidden="false" customHeight="false" outlineLevel="0" collapsed="false">
      <c r="A106" s="18" t="s">
        <v>209</v>
      </c>
      <c r="B106" s="18" t="s">
        <v>33</v>
      </c>
      <c r="C106" s="17" t="s">
        <v>190</v>
      </c>
      <c r="D106" s="19" t="n">
        <v>50000</v>
      </c>
      <c r="E106" s="19" t="n">
        <v>1600000</v>
      </c>
      <c r="F106" s="20" t="s">
        <v>47</v>
      </c>
      <c r="G106" s="20" t="n">
        <v>45</v>
      </c>
      <c r="H106" s="17"/>
    </row>
    <row r="107" customFormat="false" ht="29.85" hidden="false" customHeight="false" outlineLevel="0" collapsed="false">
      <c r="A107" s="18" t="s">
        <v>210</v>
      </c>
      <c r="B107" s="18" t="s">
        <v>67</v>
      </c>
      <c r="C107" s="18" t="s">
        <v>65</v>
      </c>
      <c r="D107" s="20"/>
      <c r="E107" s="20"/>
      <c r="F107" s="20" t="s">
        <v>47</v>
      </c>
      <c r="G107" s="20" t="n">
        <v>7</v>
      </c>
      <c r="H107" s="17"/>
    </row>
    <row r="108" customFormat="false" ht="29.85" hidden="false" customHeight="false" outlineLevel="0" collapsed="false">
      <c r="A108" s="18" t="s">
        <v>211</v>
      </c>
      <c r="B108" s="18" t="s">
        <v>67</v>
      </c>
      <c r="C108" s="18" t="s">
        <v>65</v>
      </c>
      <c r="D108" s="20"/>
      <c r="E108" s="20"/>
      <c r="F108" s="20" t="s">
        <v>47</v>
      </c>
      <c r="G108" s="20" t="n">
        <v>7</v>
      </c>
      <c r="H108" s="17"/>
    </row>
    <row r="109" customFormat="false" ht="15" hidden="false" customHeight="false" outlineLevel="0" collapsed="false">
      <c r="A109" s="18" t="s">
        <v>212</v>
      </c>
      <c r="B109" s="18" t="s">
        <v>67</v>
      </c>
      <c r="C109" s="18" t="s">
        <v>65</v>
      </c>
      <c r="D109" s="20"/>
      <c r="E109" s="20"/>
      <c r="F109" s="20" t="s">
        <v>47</v>
      </c>
      <c r="G109" s="20" t="n">
        <v>7</v>
      </c>
      <c r="H109" s="17"/>
    </row>
    <row r="110" customFormat="false" ht="29.85" hidden="false" customHeight="false" outlineLevel="0" collapsed="false">
      <c r="A110" s="18" t="s">
        <v>213</v>
      </c>
      <c r="B110" s="18" t="s">
        <v>67</v>
      </c>
      <c r="C110" s="18" t="s">
        <v>65</v>
      </c>
      <c r="D110" s="20"/>
      <c r="E110" s="20"/>
      <c r="F110" s="20" t="s">
        <v>47</v>
      </c>
      <c r="G110" s="20" t="n">
        <v>7</v>
      </c>
      <c r="H110" s="17"/>
    </row>
    <row r="111" customFormat="false" ht="29.85" hidden="false" customHeight="false" outlineLevel="0" collapsed="false">
      <c r="A111" s="18" t="s">
        <v>214</v>
      </c>
      <c r="B111" s="18" t="s">
        <v>67</v>
      </c>
      <c r="C111" s="18" t="s">
        <v>65</v>
      </c>
      <c r="D111" s="20"/>
      <c r="E111" s="20"/>
      <c r="F111" s="20" t="s">
        <v>47</v>
      </c>
      <c r="G111" s="20" t="n">
        <v>7</v>
      </c>
      <c r="H111" s="17"/>
    </row>
    <row r="112" customFormat="false" ht="29.85" hidden="false" customHeight="false" outlineLevel="0" collapsed="false">
      <c r="A112" s="18" t="s">
        <v>215</v>
      </c>
      <c r="B112" s="18" t="s">
        <v>67</v>
      </c>
      <c r="C112" s="18" t="s">
        <v>65</v>
      </c>
      <c r="D112" s="20"/>
      <c r="E112" s="20"/>
      <c r="F112" s="20" t="s">
        <v>47</v>
      </c>
      <c r="G112" s="20" t="n">
        <v>7</v>
      </c>
      <c r="H112" s="17"/>
    </row>
    <row r="113" customFormat="false" ht="29.85" hidden="false" customHeight="false" outlineLevel="0" collapsed="false">
      <c r="A113" s="18" t="s">
        <v>216</v>
      </c>
      <c r="B113" s="18" t="s">
        <v>67</v>
      </c>
      <c r="C113" s="18" t="s">
        <v>65</v>
      </c>
      <c r="D113" s="20"/>
      <c r="E113" s="20"/>
      <c r="F113" s="20" t="s">
        <v>47</v>
      </c>
      <c r="G113" s="20" t="n">
        <v>7</v>
      </c>
      <c r="H113" s="17"/>
    </row>
    <row r="114" customFormat="false" ht="15" hidden="false" customHeight="false" outlineLevel="0" collapsed="false">
      <c r="A114" s="14" t="s">
        <v>217</v>
      </c>
      <c r="B114" s="14" t="s">
        <v>138</v>
      </c>
      <c r="C114" s="13"/>
      <c r="D114" s="15"/>
      <c r="E114" s="15"/>
      <c r="F114" s="16" t="s">
        <v>39</v>
      </c>
      <c r="G114" s="15" t="n">
        <v>0</v>
      </c>
      <c r="H114" s="13"/>
    </row>
    <row r="115" customFormat="false" ht="29.85" hidden="false" customHeight="false" outlineLevel="0" collapsed="false">
      <c r="A115" s="10" t="s">
        <v>218</v>
      </c>
      <c r="B115" s="10" t="s">
        <v>219</v>
      </c>
      <c r="C115" s="10" t="s">
        <v>35</v>
      </c>
      <c r="D115" s="11"/>
      <c r="E115" s="11"/>
      <c r="F115" s="12" t="s">
        <v>35</v>
      </c>
      <c r="G115" s="11" t="n">
        <v>3</v>
      </c>
      <c r="H115" s="9"/>
    </row>
    <row r="116" customFormat="false" ht="29.85" hidden="false" customHeight="false" outlineLevel="0" collapsed="false">
      <c r="A116" s="10" t="s">
        <v>220</v>
      </c>
      <c r="B116" s="10" t="s">
        <v>219</v>
      </c>
      <c r="C116" s="10" t="s">
        <v>35</v>
      </c>
      <c r="D116" s="11"/>
      <c r="E116" s="11"/>
      <c r="F116" s="12" t="s">
        <v>35</v>
      </c>
      <c r="G116" s="11" t="n">
        <v>3</v>
      </c>
      <c r="H116" s="9"/>
    </row>
    <row r="117" customFormat="false" ht="44" hidden="false" customHeight="false" outlineLevel="0" collapsed="false">
      <c r="A117" s="18" t="s">
        <v>221</v>
      </c>
      <c r="B117" s="18" t="s">
        <v>219</v>
      </c>
      <c r="C117" s="17" t="s">
        <v>222</v>
      </c>
      <c r="D117" s="19" t="n">
        <v>5000</v>
      </c>
      <c r="E117" s="19" t="n">
        <v>5000</v>
      </c>
      <c r="F117" s="20" t="s">
        <v>47</v>
      </c>
      <c r="G117" s="20" t="n">
        <v>7</v>
      </c>
      <c r="H117" s="17"/>
    </row>
    <row r="118" customFormat="false" ht="15" hidden="false" customHeight="false" outlineLevel="0" collapsed="false">
      <c r="A118" s="14" t="s">
        <v>223</v>
      </c>
      <c r="B118" s="14" t="s">
        <v>224</v>
      </c>
      <c r="C118" s="13"/>
      <c r="D118" s="15"/>
      <c r="E118" s="15"/>
      <c r="F118" s="16" t="s">
        <v>39</v>
      </c>
      <c r="G118" s="15" t="n">
        <v>0</v>
      </c>
      <c r="H118" s="13"/>
    </row>
    <row r="119" customFormat="false" ht="29.85" hidden="false" customHeight="false" outlineLevel="0" collapsed="false">
      <c r="A119" s="18" t="s">
        <v>225</v>
      </c>
      <c r="B119" s="18" t="s">
        <v>38</v>
      </c>
      <c r="C119" s="17" t="s">
        <v>226</v>
      </c>
      <c r="D119" s="19" t="n">
        <v>15000</v>
      </c>
      <c r="E119" s="19" t="n">
        <v>15000</v>
      </c>
      <c r="F119" s="20" t="s">
        <v>47</v>
      </c>
      <c r="G119" s="20" t="n">
        <v>5</v>
      </c>
      <c r="H119" s="17"/>
    </row>
    <row r="120" customFormat="false" ht="29.85" hidden="false" customHeight="false" outlineLevel="0" collapsed="false">
      <c r="A120" s="14" t="s">
        <v>227</v>
      </c>
      <c r="B120" s="14" t="s">
        <v>38</v>
      </c>
      <c r="C120" s="13"/>
      <c r="D120" s="15"/>
      <c r="E120" s="15"/>
      <c r="F120" s="16" t="s">
        <v>39</v>
      </c>
      <c r="G120" s="15" t="n">
        <v>0</v>
      </c>
      <c r="H120" s="13"/>
    </row>
    <row r="121" customFormat="false" ht="15" hidden="false" customHeight="false" outlineLevel="0" collapsed="false">
      <c r="A121" s="18" t="s">
        <v>228</v>
      </c>
      <c r="B121" s="18" t="s">
        <v>51</v>
      </c>
      <c r="C121" s="18" t="s">
        <v>229</v>
      </c>
      <c r="D121" s="19" t="n">
        <v>15000</v>
      </c>
      <c r="E121" s="19" t="n">
        <v>25000</v>
      </c>
      <c r="F121" s="20" t="s">
        <v>47</v>
      </c>
      <c r="G121" s="20" t="n">
        <v>5</v>
      </c>
      <c r="H121" s="17"/>
    </row>
    <row r="122" customFormat="false" ht="15" hidden="false" customHeight="false" outlineLevel="0" collapsed="false">
      <c r="A122" s="10" t="s">
        <v>230</v>
      </c>
      <c r="B122" s="10" t="s">
        <v>51</v>
      </c>
      <c r="C122" s="10" t="s">
        <v>57</v>
      </c>
      <c r="D122" s="11"/>
      <c r="E122" s="11"/>
      <c r="F122" s="12" t="s">
        <v>35</v>
      </c>
      <c r="G122" s="11" t="n">
        <v>0</v>
      </c>
      <c r="H122" s="9"/>
    </row>
    <row r="123" customFormat="false" ht="15" hidden="false" customHeight="false" outlineLevel="0" collapsed="false">
      <c r="A123" s="18" t="s">
        <v>231</v>
      </c>
      <c r="B123" s="18" t="s">
        <v>51</v>
      </c>
      <c r="C123" s="17" t="s">
        <v>52</v>
      </c>
      <c r="D123" s="19" t="n">
        <v>15000</v>
      </c>
      <c r="E123" s="19" t="n">
        <v>15000</v>
      </c>
      <c r="F123" s="20" t="s">
        <v>47</v>
      </c>
      <c r="G123" s="20" t="n">
        <v>0</v>
      </c>
      <c r="H123" s="17"/>
    </row>
    <row r="124" customFormat="false" ht="72.35" hidden="false" customHeight="false" outlineLevel="0" collapsed="false">
      <c r="A124" s="18" t="s">
        <v>232</v>
      </c>
      <c r="B124" s="18" t="s">
        <v>38</v>
      </c>
      <c r="C124" s="18" t="s">
        <v>233</v>
      </c>
      <c r="D124" s="19" t="n">
        <v>15000</v>
      </c>
      <c r="E124" s="19" t="n">
        <v>25000</v>
      </c>
      <c r="F124" s="20" t="s">
        <v>47</v>
      </c>
      <c r="G124" s="20" t="n">
        <v>5</v>
      </c>
      <c r="H124" s="17"/>
    </row>
    <row r="125" customFormat="false" ht="29.85" hidden="false" customHeight="false" outlineLevel="0" collapsed="false">
      <c r="A125" s="18" t="s">
        <v>234</v>
      </c>
      <c r="B125" s="18" t="s">
        <v>38</v>
      </c>
      <c r="C125" s="17" t="s">
        <v>235</v>
      </c>
      <c r="D125" s="19" t="n">
        <v>5000</v>
      </c>
      <c r="E125" s="19" t="n">
        <v>15000</v>
      </c>
      <c r="F125" s="20" t="s">
        <v>47</v>
      </c>
      <c r="G125" s="20" t="n">
        <v>0</v>
      </c>
      <c r="H125" s="17"/>
    </row>
    <row r="126" customFormat="false" ht="29.85" hidden="false" customHeight="false" outlineLevel="0" collapsed="false">
      <c r="A126" s="14" t="s">
        <v>236</v>
      </c>
      <c r="B126" s="14" t="s">
        <v>51</v>
      </c>
      <c r="C126" s="13"/>
      <c r="D126" s="15"/>
      <c r="E126" s="15"/>
      <c r="F126" s="16" t="s">
        <v>39</v>
      </c>
      <c r="G126" s="15" t="n">
        <v>0</v>
      </c>
      <c r="H126" s="13"/>
    </row>
    <row r="127" customFormat="false" ht="29.85" hidden="false" customHeight="false" outlineLevel="0" collapsed="false">
      <c r="A127" s="14" t="s">
        <v>237</v>
      </c>
      <c r="B127" s="14" t="s">
        <v>38</v>
      </c>
      <c r="C127" s="13"/>
      <c r="D127" s="15"/>
      <c r="E127" s="15"/>
      <c r="F127" s="16" t="s">
        <v>39</v>
      </c>
      <c r="G127" s="15" t="n">
        <v>2</v>
      </c>
      <c r="H127" s="13"/>
    </row>
    <row r="128" customFormat="false" ht="29.85" hidden="false" customHeight="false" outlineLevel="0" collapsed="false">
      <c r="A128" s="14" t="s">
        <v>238</v>
      </c>
      <c r="B128" s="14" t="s">
        <v>38</v>
      </c>
      <c r="C128" s="13"/>
      <c r="D128" s="15"/>
      <c r="E128" s="15"/>
      <c r="F128" s="16" t="s">
        <v>39</v>
      </c>
      <c r="G128" s="15" t="n">
        <v>0</v>
      </c>
      <c r="H128" s="13"/>
    </row>
    <row r="129" customFormat="false" ht="15" hidden="false" customHeight="false" outlineLevel="0" collapsed="false">
      <c r="A129" s="10" t="s">
        <v>239</v>
      </c>
      <c r="B129" s="9"/>
      <c r="C129" s="10" t="s">
        <v>57</v>
      </c>
      <c r="D129" s="11"/>
      <c r="E129" s="11"/>
      <c r="F129" s="12" t="s">
        <v>35</v>
      </c>
      <c r="G129" s="11" t="n">
        <v>30</v>
      </c>
      <c r="H129" s="9"/>
    </row>
    <row r="130" customFormat="false" ht="15" hidden="false" customHeight="false" outlineLevel="0" collapsed="false">
      <c r="A130" s="10" t="s">
        <v>240</v>
      </c>
      <c r="B130" s="10" t="s">
        <v>241</v>
      </c>
      <c r="C130" s="10" t="s">
        <v>57</v>
      </c>
      <c r="D130" s="11"/>
      <c r="E130" s="11"/>
      <c r="F130" s="12" t="s">
        <v>35</v>
      </c>
      <c r="G130" s="11" t="n">
        <v>0</v>
      </c>
      <c r="H130" s="9"/>
    </row>
    <row r="131" customFormat="false" ht="29.85" hidden="false" customHeight="false" outlineLevel="0" collapsed="false">
      <c r="A131" s="10" t="s">
        <v>242</v>
      </c>
      <c r="B131" s="10" t="s">
        <v>92</v>
      </c>
      <c r="C131" s="10" t="s">
        <v>57</v>
      </c>
      <c r="D131" s="11"/>
      <c r="E131" s="11"/>
      <c r="F131" s="12" t="s">
        <v>35</v>
      </c>
      <c r="G131" s="11" t="n">
        <v>5</v>
      </c>
      <c r="H131" s="9"/>
    </row>
    <row r="132" customFormat="false" ht="15" hidden="false" customHeight="false" outlineLevel="0" collapsed="false">
      <c r="A132" s="14" t="s">
        <v>243</v>
      </c>
      <c r="B132" s="14" t="s">
        <v>244</v>
      </c>
      <c r="C132" s="13"/>
      <c r="D132" s="15"/>
      <c r="E132" s="15"/>
      <c r="F132" s="16" t="s">
        <v>39</v>
      </c>
      <c r="G132" s="15" t="n">
        <v>20</v>
      </c>
      <c r="H132" s="13"/>
    </row>
    <row r="133" customFormat="false" ht="15" hidden="false" customHeight="false" outlineLevel="0" collapsed="false">
      <c r="A133" s="18" t="s">
        <v>245</v>
      </c>
      <c r="B133" s="18" t="s">
        <v>244</v>
      </c>
      <c r="C133" s="17" t="s">
        <v>246</v>
      </c>
      <c r="D133" s="19" t="n">
        <v>30000</v>
      </c>
      <c r="E133" s="19" t="n">
        <v>30000</v>
      </c>
      <c r="F133" s="20" t="s">
        <v>47</v>
      </c>
      <c r="G133" s="20" t="n">
        <v>20</v>
      </c>
      <c r="H133" s="17"/>
    </row>
    <row r="134" customFormat="false" ht="15" hidden="false" customHeight="false" outlineLevel="0" collapsed="false">
      <c r="A134" s="14" t="s">
        <v>247</v>
      </c>
      <c r="B134" s="14" t="s">
        <v>244</v>
      </c>
      <c r="C134" s="13"/>
      <c r="D134" s="15"/>
      <c r="E134" s="15"/>
      <c r="F134" s="16" t="s">
        <v>39</v>
      </c>
      <c r="G134" s="15" t="n">
        <v>7</v>
      </c>
      <c r="H134" s="13"/>
    </row>
    <row r="135" customFormat="false" ht="15" hidden="false" customHeight="false" outlineLevel="0" collapsed="false">
      <c r="A135" s="14" t="s">
        <v>248</v>
      </c>
      <c r="B135" s="14" t="s">
        <v>244</v>
      </c>
      <c r="C135" s="13"/>
      <c r="D135" s="15"/>
      <c r="E135" s="15"/>
      <c r="F135" s="16" t="s">
        <v>39</v>
      </c>
      <c r="G135" s="15" t="n">
        <v>7</v>
      </c>
      <c r="H135" s="13"/>
    </row>
    <row r="136" customFormat="false" ht="15" hidden="false" customHeight="false" outlineLevel="0" collapsed="false">
      <c r="A136" s="14" t="s">
        <v>249</v>
      </c>
      <c r="B136" s="14" t="s">
        <v>244</v>
      </c>
      <c r="C136" s="13"/>
      <c r="D136" s="15"/>
      <c r="E136" s="15"/>
      <c r="F136" s="16" t="s">
        <v>39</v>
      </c>
      <c r="G136" s="15" t="n">
        <v>7</v>
      </c>
      <c r="H136" s="13"/>
    </row>
    <row r="137" customFormat="false" ht="15" hidden="false" customHeight="false" outlineLevel="0" collapsed="false">
      <c r="A137" s="14" t="s">
        <v>250</v>
      </c>
      <c r="B137" s="14" t="s">
        <v>244</v>
      </c>
      <c r="C137" s="13"/>
      <c r="D137" s="15"/>
      <c r="E137" s="15"/>
      <c r="F137" s="16" t="s">
        <v>39</v>
      </c>
      <c r="G137" s="15" t="n">
        <v>7</v>
      </c>
      <c r="H137" s="13"/>
    </row>
    <row r="138" customFormat="false" ht="15" hidden="false" customHeight="false" outlineLevel="0" collapsed="false">
      <c r="A138" s="14" t="s">
        <v>251</v>
      </c>
      <c r="B138" s="14" t="s">
        <v>244</v>
      </c>
      <c r="C138" s="13"/>
      <c r="D138" s="15"/>
      <c r="E138" s="15"/>
      <c r="F138" s="16" t="s">
        <v>39</v>
      </c>
      <c r="G138" s="15" t="n">
        <v>20</v>
      </c>
      <c r="H138" s="13"/>
    </row>
    <row r="139" customFormat="false" ht="15" hidden="false" customHeight="false" outlineLevel="0" collapsed="false">
      <c r="A139" s="18" t="s">
        <v>252</v>
      </c>
      <c r="B139" s="18" t="s">
        <v>119</v>
      </c>
      <c r="C139" s="17" t="s">
        <v>107</v>
      </c>
      <c r="D139" s="19" t="n">
        <v>800</v>
      </c>
      <c r="E139" s="19" t="n">
        <v>800</v>
      </c>
      <c r="F139" s="20" t="s">
        <v>47</v>
      </c>
      <c r="G139" s="20" t="n">
        <v>0</v>
      </c>
      <c r="H139" s="17"/>
    </row>
    <row r="140" customFormat="false" ht="15" hidden="false" customHeight="false" outlineLevel="0" collapsed="false">
      <c r="A140" s="10" t="s">
        <v>253</v>
      </c>
      <c r="B140" s="10" t="s">
        <v>51</v>
      </c>
      <c r="C140" s="10" t="s">
        <v>57</v>
      </c>
      <c r="D140" s="11"/>
      <c r="E140" s="11"/>
      <c r="F140" s="12" t="s">
        <v>35</v>
      </c>
      <c r="G140" s="11" t="n">
        <v>0</v>
      </c>
      <c r="H140" s="9"/>
    </row>
    <row r="141" customFormat="false" ht="15" hidden="false" customHeight="false" outlineLevel="0" collapsed="false">
      <c r="A141" s="14" t="s">
        <v>254</v>
      </c>
      <c r="B141" s="14" t="s">
        <v>51</v>
      </c>
      <c r="C141" s="13"/>
      <c r="D141" s="15"/>
      <c r="E141" s="15"/>
      <c r="F141" s="16" t="s">
        <v>39</v>
      </c>
      <c r="G141" s="15" t="n">
        <v>3</v>
      </c>
      <c r="H141" s="13"/>
    </row>
    <row r="142" customFormat="false" ht="15" hidden="false" customHeight="false" outlineLevel="0" collapsed="false">
      <c r="A142" s="14" t="s">
        <v>255</v>
      </c>
      <c r="B142" s="14" t="s">
        <v>51</v>
      </c>
      <c r="C142" s="13"/>
      <c r="D142" s="15"/>
      <c r="E142" s="15"/>
      <c r="F142" s="16" t="s">
        <v>39</v>
      </c>
      <c r="G142" s="15" t="n">
        <v>0</v>
      </c>
      <c r="H142" s="13"/>
    </row>
    <row r="143" customFormat="false" ht="29.85" hidden="false" customHeight="false" outlineLevel="0" collapsed="false">
      <c r="A143" s="18" t="s">
        <v>256</v>
      </c>
      <c r="B143" s="18" t="s">
        <v>219</v>
      </c>
      <c r="C143" s="18" t="s">
        <v>257</v>
      </c>
      <c r="D143" s="19" t="n">
        <v>5000</v>
      </c>
      <c r="E143" s="19" t="n">
        <v>10000</v>
      </c>
      <c r="F143" s="20" t="s">
        <v>47</v>
      </c>
      <c r="G143" s="20" t="n">
        <v>7</v>
      </c>
      <c r="H143" s="17"/>
    </row>
    <row r="144" customFormat="false" ht="29.85" hidden="false" customHeight="false" outlineLevel="0" collapsed="false">
      <c r="A144" s="14" t="s">
        <v>258</v>
      </c>
      <c r="B144" s="14" t="s">
        <v>219</v>
      </c>
      <c r="C144" s="13"/>
      <c r="D144" s="15"/>
      <c r="E144" s="15"/>
      <c r="F144" s="16" t="s">
        <v>39</v>
      </c>
      <c r="G144" s="15" t="n">
        <v>1</v>
      </c>
      <c r="H144" s="13"/>
    </row>
    <row r="145" customFormat="false" ht="29.85" hidden="false" customHeight="false" outlineLevel="0" collapsed="false">
      <c r="A145" s="14" t="s">
        <v>259</v>
      </c>
      <c r="B145" s="14" t="s">
        <v>219</v>
      </c>
      <c r="C145" s="13"/>
      <c r="D145" s="15"/>
      <c r="E145" s="15"/>
      <c r="F145" s="16" t="s">
        <v>39</v>
      </c>
      <c r="G145" s="15" t="n">
        <v>0</v>
      </c>
      <c r="H145" s="13"/>
    </row>
    <row r="146" customFormat="false" ht="15" hidden="false" customHeight="false" outlineLevel="0" collapsed="false">
      <c r="A146" s="18" t="s">
        <v>260</v>
      </c>
      <c r="B146" s="18" t="s">
        <v>103</v>
      </c>
      <c r="C146" s="17" t="s">
        <v>261</v>
      </c>
      <c r="D146" s="19" t="n">
        <v>1000</v>
      </c>
      <c r="E146" s="19" t="n">
        <v>1000</v>
      </c>
      <c r="F146" s="20" t="s">
        <v>47</v>
      </c>
      <c r="G146" s="20" t="n">
        <v>5</v>
      </c>
      <c r="H146" s="17"/>
    </row>
    <row r="147" customFormat="false" ht="15" hidden="false" customHeight="false" outlineLevel="0" collapsed="false">
      <c r="A147" s="14" t="s">
        <v>262</v>
      </c>
      <c r="B147" s="14" t="s">
        <v>103</v>
      </c>
      <c r="C147" s="13"/>
      <c r="D147" s="15"/>
      <c r="E147" s="15"/>
      <c r="F147" s="16" t="s">
        <v>39</v>
      </c>
      <c r="G147" s="15" t="n">
        <v>13</v>
      </c>
      <c r="H147" s="13"/>
    </row>
    <row r="148" customFormat="false" ht="15" hidden="false" customHeight="false" outlineLevel="0" collapsed="false">
      <c r="A148" s="10" t="s">
        <v>263</v>
      </c>
      <c r="B148" s="10" t="s">
        <v>169</v>
      </c>
      <c r="C148" s="10" t="s">
        <v>196</v>
      </c>
      <c r="D148" s="11"/>
      <c r="E148" s="11"/>
      <c r="F148" s="12" t="s">
        <v>35</v>
      </c>
      <c r="G148" s="11" t="n">
        <v>20</v>
      </c>
      <c r="H148" s="9"/>
    </row>
    <row r="149" customFormat="false" ht="29.85" hidden="false" customHeight="false" outlineLevel="0" collapsed="false">
      <c r="A149" s="18" t="s">
        <v>264</v>
      </c>
      <c r="B149" s="18" t="s">
        <v>80</v>
      </c>
      <c r="C149" s="17" t="s">
        <v>107</v>
      </c>
      <c r="D149" s="19" t="n">
        <v>800</v>
      </c>
      <c r="E149" s="19" t="n">
        <v>800</v>
      </c>
      <c r="F149" s="20" t="s">
        <v>47</v>
      </c>
      <c r="G149" s="20" t="n">
        <v>0</v>
      </c>
      <c r="H149" s="17"/>
    </row>
    <row r="150" customFormat="false" ht="29.85" hidden="false" customHeight="false" outlineLevel="0" collapsed="false">
      <c r="A150" s="18" t="s">
        <v>265</v>
      </c>
      <c r="B150" s="18" t="s">
        <v>266</v>
      </c>
      <c r="C150" s="17" t="s">
        <v>107</v>
      </c>
      <c r="D150" s="19" t="n">
        <v>800</v>
      </c>
      <c r="E150" s="19" t="n">
        <v>800</v>
      </c>
      <c r="F150" s="20" t="s">
        <v>47</v>
      </c>
      <c r="G150" s="20" t="n">
        <v>0</v>
      </c>
      <c r="H150" s="17"/>
    </row>
    <row r="151" customFormat="false" ht="15" hidden="false" customHeight="false" outlineLevel="0" collapsed="false">
      <c r="A151" s="18" t="s">
        <v>267</v>
      </c>
      <c r="B151" s="18" t="s">
        <v>67</v>
      </c>
      <c r="C151" s="18" t="s">
        <v>68</v>
      </c>
      <c r="D151" s="20"/>
      <c r="E151" s="20"/>
      <c r="F151" s="20" t="s">
        <v>47</v>
      </c>
      <c r="G151" s="20" t="n">
        <v>5</v>
      </c>
      <c r="H151" s="17"/>
    </row>
    <row r="152" customFormat="false" ht="15" hidden="false" customHeight="false" outlineLevel="0" collapsed="false">
      <c r="A152" s="14" t="s">
        <v>268</v>
      </c>
      <c r="B152" s="14" t="s">
        <v>103</v>
      </c>
      <c r="C152" s="13"/>
      <c r="D152" s="15"/>
      <c r="E152" s="15"/>
      <c r="F152" s="16" t="s">
        <v>39</v>
      </c>
      <c r="G152" s="15" t="n">
        <v>7</v>
      </c>
      <c r="H152" s="13"/>
    </row>
    <row r="153" customFormat="false" ht="15" hidden="false" customHeight="false" outlineLevel="0" collapsed="false">
      <c r="A153" s="14" t="s">
        <v>269</v>
      </c>
      <c r="B153" s="14" t="s">
        <v>103</v>
      </c>
      <c r="C153" s="13"/>
      <c r="D153" s="15"/>
      <c r="E153" s="15"/>
      <c r="F153" s="16" t="s">
        <v>39</v>
      </c>
      <c r="G153" s="15" t="n">
        <v>20</v>
      </c>
      <c r="H153" s="13"/>
    </row>
    <row r="154" customFormat="false" ht="15" hidden="false" customHeight="false" outlineLevel="0" collapsed="false">
      <c r="A154" s="18" t="s">
        <v>270</v>
      </c>
      <c r="B154" s="18" t="s">
        <v>103</v>
      </c>
      <c r="C154" s="17" t="s">
        <v>261</v>
      </c>
      <c r="D154" s="19" t="n">
        <v>1000</v>
      </c>
      <c r="E154" s="19" t="n">
        <v>1000</v>
      </c>
      <c r="F154" s="20" t="s">
        <v>47</v>
      </c>
      <c r="G154" s="20" t="n">
        <v>0</v>
      </c>
      <c r="H154" s="17"/>
    </row>
    <row r="155" customFormat="false" ht="15" hidden="false" customHeight="false" outlineLevel="0" collapsed="false">
      <c r="A155" s="14" t="s">
        <v>271</v>
      </c>
      <c r="B155" s="14" t="s">
        <v>272</v>
      </c>
      <c r="C155" s="13"/>
      <c r="D155" s="15"/>
      <c r="E155" s="15"/>
      <c r="F155" s="16" t="s">
        <v>39</v>
      </c>
      <c r="G155" s="15" t="n">
        <v>3</v>
      </c>
      <c r="H155" s="13"/>
    </row>
    <row r="156" customFormat="false" ht="15" hidden="false" customHeight="false" outlineLevel="0" collapsed="false">
      <c r="A156" s="14" t="s">
        <v>273</v>
      </c>
      <c r="B156" s="14" t="s">
        <v>103</v>
      </c>
      <c r="C156" s="13"/>
      <c r="D156" s="15"/>
      <c r="E156" s="15"/>
      <c r="F156" s="16" t="s">
        <v>39</v>
      </c>
      <c r="G156" s="15" t="n">
        <v>3</v>
      </c>
      <c r="H156" s="13"/>
    </row>
    <row r="157" customFormat="false" ht="15" hidden="false" customHeight="false" outlineLevel="0" collapsed="false">
      <c r="A157" s="14" t="s">
        <v>274</v>
      </c>
      <c r="B157" s="14" t="s">
        <v>103</v>
      </c>
      <c r="C157" s="13"/>
      <c r="D157" s="15"/>
      <c r="E157" s="15"/>
      <c r="F157" s="16" t="s">
        <v>39</v>
      </c>
      <c r="G157" s="15" t="n">
        <v>7</v>
      </c>
      <c r="H157" s="13"/>
    </row>
    <row r="158" customFormat="false" ht="15" hidden="false" customHeight="false" outlineLevel="0" collapsed="false">
      <c r="A158" s="14" t="s">
        <v>275</v>
      </c>
      <c r="B158" s="14" t="s">
        <v>103</v>
      </c>
      <c r="C158" s="13"/>
      <c r="D158" s="15"/>
      <c r="E158" s="15"/>
      <c r="F158" s="16" t="s">
        <v>39</v>
      </c>
      <c r="G158" s="15" t="n">
        <v>14</v>
      </c>
      <c r="H158" s="13"/>
    </row>
    <row r="159" customFormat="false" ht="29.85" hidden="false" customHeight="false" outlineLevel="0" collapsed="false">
      <c r="A159" s="14" t="s">
        <v>276</v>
      </c>
      <c r="B159" s="14" t="s">
        <v>41</v>
      </c>
      <c r="C159" s="13"/>
      <c r="D159" s="15"/>
      <c r="E159" s="15"/>
      <c r="F159" s="16" t="s">
        <v>39</v>
      </c>
      <c r="G159" s="15" t="n">
        <v>0</v>
      </c>
      <c r="H159" s="13"/>
    </row>
    <row r="160" customFormat="false" ht="29.85" hidden="false" customHeight="false" outlineLevel="0" collapsed="false">
      <c r="A160" s="14" t="s">
        <v>277</v>
      </c>
      <c r="B160" s="14" t="s">
        <v>41</v>
      </c>
      <c r="C160" s="13"/>
      <c r="D160" s="15"/>
      <c r="E160" s="15"/>
      <c r="F160" s="16" t="s">
        <v>39</v>
      </c>
      <c r="G160" s="15" t="n">
        <v>0</v>
      </c>
      <c r="H160" s="13"/>
    </row>
    <row r="161" customFormat="false" ht="29.85" hidden="false" customHeight="false" outlineLevel="0" collapsed="false">
      <c r="A161" s="14" t="s">
        <v>278</v>
      </c>
      <c r="B161" s="14" t="s">
        <v>41</v>
      </c>
      <c r="C161" s="13"/>
      <c r="D161" s="15"/>
      <c r="E161" s="15"/>
      <c r="F161" s="16" t="s">
        <v>39</v>
      </c>
      <c r="G161" s="15" t="n">
        <v>0</v>
      </c>
      <c r="H161" s="13"/>
    </row>
    <row r="162" customFormat="false" ht="29.85" hidden="false" customHeight="false" outlineLevel="0" collapsed="false">
      <c r="A162" s="14" t="s">
        <v>279</v>
      </c>
      <c r="B162" s="14" t="s">
        <v>41</v>
      </c>
      <c r="C162" s="13"/>
      <c r="D162" s="15"/>
      <c r="E162" s="15"/>
      <c r="F162" s="16" t="s">
        <v>39</v>
      </c>
      <c r="G162" s="15" t="n">
        <v>0</v>
      </c>
      <c r="H162" s="13"/>
    </row>
    <row r="163" customFormat="false" ht="15" hidden="false" customHeight="false" outlineLevel="0" collapsed="false">
      <c r="A163" s="14" t="s">
        <v>280</v>
      </c>
      <c r="B163" s="14" t="s">
        <v>43</v>
      </c>
      <c r="C163" s="13"/>
      <c r="D163" s="15"/>
      <c r="E163" s="15"/>
      <c r="F163" s="16" t="s">
        <v>39</v>
      </c>
      <c r="G163" s="15" t="n">
        <v>0</v>
      </c>
      <c r="H163" s="13"/>
    </row>
    <row r="164" customFormat="false" ht="44" hidden="false" customHeight="false" outlineLevel="0" collapsed="false">
      <c r="A164" s="18" t="s">
        <v>281</v>
      </c>
      <c r="B164" s="18" t="s">
        <v>282</v>
      </c>
      <c r="C164" s="18" t="s">
        <v>283</v>
      </c>
      <c r="D164" s="19" t="n">
        <v>700</v>
      </c>
      <c r="E164" s="19" t="n">
        <v>30000</v>
      </c>
      <c r="F164" s="20" t="s">
        <v>47</v>
      </c>
      <c r="G164" s="20" t="n">
        <v>5</v>
      </c>
      <c r="H164" s="17"/>
    </row>
    <row r="165" customFormat="false" ht="15" hidden="false" customHeight="false" outlineLevel="0" collapsed="false">
      <c r="A165" s="18" t="s">
        <v>284</v>
      </c>
      <c r="B165" s="18" t="s">
        <v>282</v>
      </c>
      <c r="C165" s="17" t="s">
        <v>148</v>
      </c>
      <c r="D165" s="19" t="n">
        <v>30000</v>
      </c>
      <c r="E165" s="19" t="n">
        <v>30000</v>
      </c>
      <c r="F165" s="20" t="s">
        <v>47</v>
      </c>
      <c r="G165" s="20" t="n">
        <v>7</v>
      </c>
      <c r="H165" s="17"/>
    </row>
    <row r="166" customFormat="false" ht="29.85" hidden="false" customHeight="false" outlineLevel="0" collapsed="false">
      <c r="A166" s="18" t="s">
        <v>285</v>
      </c>
      <c r="B166" s="18" t="s">
        <v>282</v>
      </c>
      <c r="C166" s="17" t="s">
        <v>286</v>
      </c>
      <c r="D166" s="19" t="n">
        <v>600</v>
      </c>
      <c r="E166" s="19" t="n">
        <v>15000</v>
      </c>
      <c r="F166" s="20" t="s">
        <v>47</v>
      </c>
      <c r="G166" s="20" t="n">
        <v>4</v>
      </c>
      <c r="H166" s="17"/>
    </row>
    <row r="167" customFormat="false" ht="15" hidden="false" customHeight="false" outlineLevel="0" collapsed="false">
      <c r="A167" s="18" t="s">
        <v>287</v>
      </c>
      <c r="B167" s="18" t="s">
        <v>282</v>
      </c>
      <c r="C167" s="17" t="s">
        <v>226</v>
      </c>
      <c r="D167" s="19" t="n">
        <v>15000</v>
      </c>
      <c r="E167" s="19" t="n">
        <v>15000</v>
      </c>
      <c r="F167" s="20" t="s">
        <v>47</v>
      </c>
      <c r="G167" s="20" t="n">
        <v>4</v>
      </c>
      <c r="H167" s="17"/>
    </row>
    <row r="168" customFormat="false" ht="15" hidden="false" customHeight="false" outlineLevel="0" collapsed="false">
      <c r="A168" s="10" t="s">
        <v>288</v>
      </c>
      <c r="B168" s="10" t="s">
        <v>282</v>
      </c>
      <c r="C168" s="10" t="s">
        <v>57</v>
      </c>
      <c r="D168" s="11"/>
      <c r="E168" s="11"/>
      <c r="F168" s="12" t="s">
        <v>35</v>
      </c>
      <c r="G168" s="11" t="n">
        <v>1</v>
      </c>
      <c r="H168" s="9"/>
    </row>
    <row r="169" customFormat="false" ht="15" hidden="false" customHeight="false" outlineLevel="0" collapsed="false">
      <c r="A169" s="14" t="s">
        <v>289</v>
      </c>
      <c r="B169" s="14" t="s">
        <v>60</v>
      </c>
      <c r="C169" s="13"/>
      <c r="D169" s="15"/>
      <c r="E169" s="15"/>
      <c r="F169" s="16" t="s">
        <v>39</v>
      </c>
      <c r="G169" s="15" t="n">
        <v>7</v>
      </c>
      <c r="H169" s="13"/>
    </row>
    <row r="170" customFormat="false" ht="15" hidden="false" customHeight="false" outlineLevel="0" collapsed="false">
      <c r="A170" s="10" t="s">
        <v>290</v>
      </c>
      <c r="B170" s="10" t="s">
        <v>51</v>
      </c>
      <c r="C170" s="10" t="s">
        <v>57</v>
      </c>
      <c r="D170" s="11"/>
      <c r="E170" s="11"/>
      <c r="F170" s="12" t="s">
        <v>35</v>
      </c>
      <c r="G170" s="11" t="n">
        <v>7</v>
      </c>
      <c r="H170" s="9"/>
    </row>
    <row r="171" customFormat="false" ht="15" hidden="false" customHeight="false" outlineLevel="0" collapsed="false">
      <c r="A171" s="14" t="s">
        <v>291</v>
      </c>
      <c r="B171" s="14" t="s">
        <v>60</v>
      </c>
      <c r="C171" s="13"/>
      <c r="D171" s="15"/>
      <c r="E171" s="15"/>
      <c r="F171" s="16" t="s">
        <v>39</v>
      </c>
      <c r="G171" s="15" t="n">
        <v>7</v>
      </c>
      <c r="H171" s="13"/>
    </row>
    <row r="172" customFormat="false" ht="15" hidden="false" customHeight="false" outlineLevel="0" collapsed="false">
      <c r="A172" s="14" t="s">
        <v>292</v>
      </c>
      <c r="B172" s="14" t="s">
        <v>33</v>
      </c>
      <c r="C172" s="13"/>
      <c r="D172" s="15"/>
      <c r="E172" s="15"/>
      <c r="F172" s="16" t="s">
        <v>39</v>
      </c>
      <c r="G172" s="15" t="n">
        <v>7</v>
      </c>
      <c r="H172" s="13"/>
    </row>
    <row r="173" customFormat="false" ht="15" hidden="false" customHeight="false" outlineLevel="0" collapsed="false">
      <c r="A173" s="10" t="s">
        <v>293</v>
      </c>
      <c r="B173" s="10" t="s">
        <v>67</v>
      </c>
      <c r="C173" s="10" t="s">
        <v>57</v>
      </c>
      <c r="D173" s="11"/>
      <c r="E173" s="11"/>
      <c r="F173" s="12" t="s">
        <v>35</v>
      </c>
      <c r="G173" s="11" t="n">
        <v>0</v>
      </c>
      <c r="H173" s="9"/>
    </row>
    <row r="174" customFormat="false" ht="15" hidden="false" customHeight="false" outlineLevel="0" collapsed="false">
      <c r="A174" s="10" t="s">
        <v>294</v>
      </c>
      <c r="B174" s="10" t="s">
        <v>132</v>
      </c>
      <c r="C174" s="10" t="s">
        <v>57</v>
      </c>
      <c r="D174" s="11"/>
      <c r="E174" s="11"/>
      <c r="F174" s="12" t="s">
        <v>35</v>
      </c>
      <c r="G174" s="11" t="n">
        <v>3</v>
      </c>
      <c r="H174" s="9"/>
    </row>
    <row r="175" customFormat="false" ht="15" hidden="false" customHeight="false" outlineLevel="0" collapsed="false">
      <c r="A175" s="10" t="s">
        <v>295</v>
      </c>
      <c r="B175" s="10" t="s">
        <v>132</v>
      </c>
      <c r="C175" s="10" t="s">
        <v>57</v>
      </c>
      <c r="D175" s="11"/>
      <c r="E175" s="11"/>
      <c r="F175" s="12" t="s">
        <v>35</v>
      </c>
      <c r="G175" s="11" t="n">
        <v>7</v>
      </c>
      <c r="H175" s="9"/>
    </row>
    <row r="176" customFormat="false" ht="29.85" hidden="false" customHeight="false" outlineLevel="0" collapsed="false">
      <c r="A176" s="10" t="s">
        <v>296</v>
      </c>
      <c r="B176" s="10" t="s">
        <v>132</v>
      </c>
      <c r="C176" s="10" t="s">
        <v>57</v>
      </c>
      <c r="D176" s="11"/>
      <c r="E176" s="11"/>
      <c r="F176" s="12" t="s">
        <v>35</v>
      </c>
      <c r="G176" s="11" t="n">
        <v>3</v>
      </c>
      <c r="H176" s="9"/>
    </row>
    <row r="177" customFormat="false" ht="15" hidden="false" customHeight="false" outlineLevel="0" collapsed="false">
      <c r="A177" s="10" t="s">
        <v>297</v>
      </c>
      <c r="B177" s="9"/>
      <c r="C177" s="10" t="s">
        <v>57</v>
      </c>
      <c r="D177" s="11"/>
      <c r="E177" s="11"/>
      <c r="F177" s="12" t="s">
        <v>35</v>
      </c>
      <c r="G177" s="11" t="n">
        <v>0</v>
      </c>
      <c r="H177" s="9"/>
    </row>
    <row r="178" customFormat="false" ht="29.85" hidden="false" customHeight="false" outlineLevel="0" collapsed="false">
      <c r="A178" s="10" t="s">
        <v>298</v>
      </c>
      <c r="B178" s="10" t="s">
        <v>282</v>
      </c>
      <c r="C178" s="10" t="s">
        <v>57</v>
      </c>
      <c r="D178" s="11"/>
      <c r="E178" s="11"/>
      <c r="F178" s="12" t="s">
        <v>35</v>
      </c>
      <c r="G178" s="11" t="n">
        <v>30</v>
      </c>
      <c r="H178" s="9"/>
    </row>
    <row r="179" customFormat="false" ht="15" hidden="false" customHeight="false" outlineLevel="0" collapsed="false">
      <c r="A179" s="10" t="s">
        <v>299</v>
      </c>
      <c r="B179" s="10" t="s">
        <v>282</v>
      </c>
      <c r="C179" s="10" t="s">
        <v>57</v>
      </c>
      <c r="D179" s="11"/>
      <c r="E179" s="11"/>
      <c r="F179" s="12" t="s">
        <v>35</v>
      </c>
      <c r="G179" s="11" t="n">
        <v>1</v>
      </c>
      <c r="H179" s="9"/>
    </row>
    <row r="180" customFormat="false" ht="15" hidden="false" customHeight="false" outlineLevel="0" collapsed="false">
      <c r="A180" s="10" t="s">
        <v>300</v>
      </c>
      <c r="B180" s="10" t="s">
        <v>282</v>
      </c>
      <c r="C180" s="10" t="s">
        <v>57</v>
      </c>
      <c r="D180" s="11"/>
      <c r="E180" s="11"/>
      <c r="F180" s="12" t="s">
        <v>35</v>
      </c>
      <c r="G180" s="11" t="n">
        <v>1</v>
      </c>
      <c r="H180" s="9"/>
    </row>
    <row r="181" customFormat="false" ht="15" hidden="false" customHeight="false" outlineLevel="0" collapsed="false">
      <c r="A181" s="18" t="s">
        <v>301</v>
      </c>
      <c r="B181" s="18" t="s">
        <v>302</v>
      </c>
      <c r="C181" s="17" t="s">
        <v>303</v>
      </c>
      <c r="D181" s="19" t="n">
        <v>30000</v>
      </c>
      <c r="E181" s="19" t="n">
        <v>30000</v>
      </c>
      <c r="F181" s="20" t="s">
        <v>47</v>
      </c>
      <c r="G181" s="20" t="n">
        <v>15</v>
      </c>
      <c r="H181" s="17"/>
    </row>
    <row r="182" customFormat="false" ht="15" hidden="false" customHeight="false" outlineLevel="0" collapsed="false">
      <c r="A182" s="18" t="s">
        <v>304</v>
      </c>
      <c r="B182" s="18" t="s">
        <v>305</v>
      </c>
      <c r="C182" s="17" t="s">
        <v>306</v>
      </c>
      <c r="D182" s="19" t="n">
        <v>30000</v>
      </c>
      <c r="E182" s="19" t="n">
        <v>30000</v>
      </c>
      <c r="F182" s="20" t="s">
        <v>47</v>
      </c>
      <c r="G182" s="20" t="n">
        <v>15</v>
      </c>
      <c r="H182" s="17"/>
    </row>
    <row r="183" customFormat="false" ht="15" hidden="false" customHeight="false" outlineLevel="0" collapsed="false">
      <c r="A183" s="10" t="s">
        <v>307</v>
      </c>
      <c r="B183" s="10" t="s">
        <v>119</v>
      </c>
      <c r="C183" s="10" t="s">
        <v>57</v>
      </c>
      <c r="D183" s="11"/>
      <c r="E183" s="11"/>
      <c r="F183" s="12" t="s">
        <v>35</v>
      </c>
      <c r="G183" s="11" t="n">
        <v>0</v>
      </c>
      <c r="H183" s="9"/>
    </row>
    <row r="184" customFormat="false" ht="15" hidden="false" customHeight="false" outlineLevel="0" collapsed="false">
      <c r="A184" s="10" t="s">
        <v>308</v>
      </c>
      <c r="B184" s="10" t="s">
        <v>169</v>
      </c>
      <c r="C184" s="10" t="s">
        <v>196</v>
      </c>
      <c r="D184" s="11"/>
      <c r="E184" s="11"/>
      <c r="F184" s="12" t="s">
        <v>35</v>
      </c>
      <c r="G184" s="11" t="n">
        <v>20</v>
      </c>
      <c r="H184" s="9"/>
    </row>
    <row r="185" customFormat="false" ht="15" hidden="false" customHeight="false" outlineLevel="0" collapsed="false">
      <c r="A185" s="14" t="s">
        <v>309</v>
      </c>
      <c r="B185" s="14" t="s">
        <v>310</v>
      </c>
      <c r="C185" s="13"/>
      <c r="D185" s="15"/>
      <c r="E185" s="15"/>
      <c r="F185" s="16" t="s">
        <v>39</v>
      </c>
      <c r="G185" s="15" t="n">
        <v>5</v>
      </c>
      <c r="H185" s="13"/>
    </row>
    <row r="186" customFormat="false" ht="29.85" hidden="false" customHeight="false" outlineLevel="0" collapsed="false">
      <c r="A186" s="14" t="s">
        <v>311</v>
      </c>
      <c r="B186" s="14" t="s">
        <v>310</v>
      </c>
      <c r="C186" s="13"/>
      <c r="D186" s="15"/>
      <c r="E186" s="15"/>
      <c r="F186" s="16" t="s">
        <v>39</v>
      </c>
      <c r="G186" s="15" t="n">
        <v>5</v>
      </c>
      <c r="H186" s="13"/>
    </row>
    <row r="187" customFormat="false" ht="15" hidden="false" customHeight="false" outlineLevel="0" collapsed="false">
      <c r="A187" s="14" t="s">
        <v>312</v>
      </c>
      <c r="B187" s="14" t="s">
        <v>310</v>
      </c>
      <c r="C187" s="13"/>
      <c r="D187" s="15"/>
      <c r="E187" s="15"/>
      <c r="F187" s="16" t="s">
        <v>39</v>
      </c>
      <c r="G187" s="15" t="n">
        <v>5</v>
      </c>
      <c r="H187" s="13"/>
    </row>
    <row r="188" customFormat="false" ht="15" hidden="false" customHeight="false" outlineLevel="0" collapsed="false">
      <c r="A188" s="10" t="s">
        <v>313</v>
      </c>
      <c r="B188" s="10" t="s">
        <v>176</v>
      </c>
      <c r="C188" s="10" t="s">
        <v>57</v>
      </c>
      <c r="D188" s="11"/>
      <c r="E188" s="11"/>
      <c r="F188" s="12" t="s">
        <v>35</v>
      </c>
      <c r="G188" s="11" t="n">
        <v>7</v>
      </c>
      <c r="H188" s="9"/>
    </row>
    <row r="189" customFormat="false" ht="29.85" hidden="false" customHeight="false" outlineLevel="0" collapsed="false">
      <c r="A189" s="18" t="s">
        <v>314</v>
      </c>
      <c r="B189" s="18" t="s">
        <v>315</v>
      </c>
      <c r="C189" s="17" t="s">
        <v>316</v>
      </c>
      <c r="D189" s="19" t="n">
        <v>8000</v>
      </c>
      <c r="E189" s="19" t="n">
        <v>20000</v>
      </c>
      <c r="F189" s="20" t="s">
        <v>47</v>
      </c>
      <c r="G189" s="20" t="n">
        <v>5</v>
      </c>
      <c r="H189" s="17"/>
    </row>
    <row r="190" customFormat="false" ht="15" hidden="false" customHeight="false" outlineLevel="0" collapsed="false">
      <c r="A190" s="14" t="s">
        <v>317</v>
      </c>
      <c r="B190" s="14" t="s">
        <v>318</v>
      </c>
      <c r="C190" s="13"/>
      <c r="D190" s="15"/>
      <c r="E190" s="15"/>
      <c r="F190" s="16" t="s">
        <v>39</v>
      </c>
      <c r="G190" s="15" t="n">
        <v>0</v>
      </c>
      <c r="H190" s="13"/>
    </row>
    <row r="191" customFormat="false" ht="15" hidden="false" customHeight="false" outlineLevel="0" collapsed="false">
      <c r="A191" s="14" t="s">
        <v>319</v>
      </c>
      <c r="B191" s="14" t="s">
        <v>315</v>
      </c>
      <c r="C191" s="13"/>
      <c r="D191" s="15"/>
      <c r="E191" s="15"/>
      <c r="F191" s="16" t="s">
        <v>39</v>
      </c>
      <c r="G191" s="15" t="n">
        <v>2</v>
      </c>
      <c r="H191" s="13"/>
    </row>
    <row r="192" customFormat="false" ht="15" hidden="false" customHeight="false" outlineLevel="0" collapsed="false">
      <c r="A192" s="14" t="s">
        <v>320</v>
      </c>
      <c r="B192" s="14" t="s">
        <v>33</v>
      </c>
      <c r="C192" s="13"/>
      <c r="D192" s="15"/>
      <c r="E192" s="15"/>
      <c r="F192" s="16" t="s">
        <v>39</v>
      </c>
      <c r="G192" s="15" t="n">
        <v>0</v>
      </c>
      <c r="H192" s="13"/>
    </row>
    <row r="193" customFormat="false" ht="15" hidden="false" customHeight="false" outlineLevel="0" collapsed="false">
      <c r="A193" s="10" t="s">
        <v>321</v>
      </c>
      <c r="B193" s="10" t="s">
        <v>33</v>
      </c>
      <c r="C193" s="10" t="s">
        <v>34</v>
      </c>
      <c r="D193" s="11"/>
      <c r="E193" s="11"/>
      <c r="F193" s="12" t="s">
        <v>35</v>
      </c>
      <c r="G193" s="11" t="n">
        <v>3</v>
      </c>
      <c r="H193" s="9"/>
    </row>
    <row r="194" customFormat="false" ht="15" hidden="false" customHeight="false" outlineLevel="0" collapsed="false">
      <c r="A194" s="10" t="s">
        <v>322</v>
      </c>
      <c r="B194" s="10" t="s">
        <v>33</v>
      </c>
      <c r="C194" s="10" t="s">
        <v>34</v>
      </c>
      <c r="D194" s="11"/>
      <c r="E194" s="11"/>
      <c r="F194" s="12" t="s">
        <v>35</v>
      </c>
      <c r="G194" s="11" t="n">
        <v>3</v>
      </c>
      <c r="H194" s="9"/>
    </row>
    <row r="195" customFormat="false" ht="15" hidden="false" customHeight="false" outlineLevel="0" collapsed="false">
      <c r="A195" s="14" t="s">
        <v>323</v>
      </c>
      <c r="B195" s="14" t="s">
        <v>147</v>
      </c>
      <c r="C195" s="13"/>
      <c r="D195" s="15"/>
      <c r="E195" s="15"/>
      <c r="F195" s="16" t="s">
        <v>39</v>
      </c>
      <c r="G195" s="15" t="n">
        <v>7</v>
      </c>
      <c r="H195" s="13"/>
    </row>
    <row r="196" customFormat="false" ht="15" hidden="false" customHeight="false" outlineLevel="0" collapsed="false">
      <c r="A196" s="10" t="s">
        <v>324</v>
      </c>
      <c r="B196" s="10" t="s">
        <v>119</v>
      </c>
      <c r="C196" s="10" t="s">
        <v>325</v>
      </c>
      <c r="D196" s="11"/>
      <c r="E196" s="11"/>
      <c r="F196" s="12" t="s">
        <v>35</v>
      </c>
      <c r="G196" s="11" t="n">
        <v>0</v>
      </c>
      <c r="H196" s="9"/>
    </row>
    <row r="197" customFormat="false" ht="15" hidden="false" customHeight="false" outlineLevel="0" collapsed="false">
      <c r="A197" s="10" t="s">
        <v>326</v>
      </c>
      <c r="B197" s="10" t="s">
        <v>82</v>
      </c>
      <c r="C197" s="10" t="s">
        <v>57</v>
      </c>
      <c r="D197" s="11"/>
      <c r="E197" s="11"/>
      <c r="F197" s="12" t="s">
        <v>35</v>
      </c>
      <c r="G197" s="11" t="n">
        <v>4</v>
      </c>
      <c r="H197" s="9"/>
    </row>
    <row r="198" customFormat="false" ht="15" hidden="false" customHeight="false" outlineLevel="0" collapsed="false">
      <c r="A198" s="10" t="s">
        <v>327</v>
      </c>
      <c r="B198" s="10" t="s">
        <v>82</v>
      </c>
      <c r="C198" s="10" t="s">
        <v>57</v>
      </c>
      <c r="D198" s="11"/>
      <c r="E198" s="11"/>
      <c r="F198" s="12" t="s">
        <v>35</v>
      </c>
      <c r="G198" s="11" t="n">
        <v>4</v>
      </c>
      <c r="H198" s="9"/>
    </row>
    <row r="199" customFormat="false" ht="15" hidden="false" customHeight="false" outlineLevel="0" collapsed="false">
      <c r="A199" s="10" t="s">
        <v>328</v>
      </c>
      <c r="B199" s="9"/>
      <c r="C199" s="10" t="s">
        <v>57</v>
      </c>
      <c r="D199" s="11"/>
      <c r="E199" s="11"/>
      <c r="F199" s="12" t="s">
        <v>35</v>
      </c>
      <c r="G199" s="11" t="n">
        <v>1</v>
      </c>
      <c r="H199" s="9"/>
    </row>
    <row r="200" customFormat="false" ht="15" hidden="false" customHeight="false" outlineLevel="0" collapsed="false">
      <c r="A200" s="10" t="s">
        <v>329</v>
      </c>
      <c r="B200" s="9"/>
      <c r="C200" s="10" t="s">
        <v>57</v>
      </c>
      <c r="D200" s="11"/>
      <c r="E200" s="11"/>
      <c r="F200" s="12" t="s">
        <v>35</v>
      </c>
      <c r="G200" s="11" t="n">
        <v>0</v>
      </c>
      <c r="H200" s="9"/>
    </row>
    <row r="201" customFormat="false" ht="15" hidden="false" customHeight="false" outlineLevel="0" collapsed="false">
      <c r="A201" s="14" t="s">
        <v>330</v>
      </c>
      <c r="B201" s="14" t="s">
        <v>331</v>
      </c>
      <c r="C201" s="13"/>
      <c r="D201" s="15"/>
      <c r="E201" s="15"/>
      <c r="F201" s="16" t="s">
        <v>39</v>
      </c>
      <c r="G201" s="15" t="n">
        <v>0</v>
      </c>
      <c r="H201" s="13"/>
    </row>
    <row r="202" customFormat="false" ht="29.85" hidden="false" customHeight="false" outlineLevel="0" collapsed="false">
      <c r="A202" s="14" t="s">
        <v>332</v>
      </c>
      <c r="B202" s="14" t="s">
        <v>77</v>
      </c>
      <c r="C202" s="13"/>
      <c r="D202" s="15"/>
      <c r="E202" s="15"/>
      <c r="F202" s="16" t="s">
        <v>39</v>
      </c>
      <c r="G202" s="15" t="n">
        <v>0</v>
      </c>
      <c r="H202" s="13"/>
    </row>
    <row r="203" customFormat="false" ht="15" hidden="false" customHeight="false" outlineLevel="0" collapsed="false">
      <c r="A203" s="10" t="s">
        <v>333</v>
      </c>
      <c r="B203" s="10" t="s">
        <v>82</v>
      </c>
      <c r="C203" s="10" t="s">
        <v>57</v>
      </c>
      <c r="D203" s="11"/>
      <c r="E203" s="11"/>
      <c r="F203" s="12" t="s">
        <v>35</v>
      </c>
      <c r="G203" s="11" t="n">
        <v>7</v>
      </c>
      <c r="H203" s="9"/>
    </row>
    <row r="204" customFormat="false" ht="15" hidden="false" customHeight="false" outlineLevel="0" collapsed="false">
      <c r="A204" s="10" t="s">
        <v>334</v>
      </c>
      <c r="B204" s="10" t="s">
        <v>335</v>
      </c>
      <c r="C204" s="10" t="s">
        <v>57</v>
      </c>
      <c r="D204" s="11"/>
      <c r="E204" s="11"/>
      <c r="F204" s="12" t="s">
        <v>35</v>
      </c>
      <c r="G204" s="11" t="n">
        <v>3</v>
      </c>
      <c r="H204" s="9"/>
    </row>
    <row r="205" customFormat="false" ht="15" hidden="false" customHeight="false" outlineLevel="0" collapsed="false">
      <c r="A205" s="10" t="s">
        <v>336</v>
      </c>
      <c r="B205" s="10" t="s">
        <v>335</v>
      </c>
      <c r="C205" s="10" t="s">
        <v>57</v>
      </c>
      <c r="D205" s="11"/>
      <c r="E205" s="11"/>
      <c r="F205" s="12" t="s">
        <v>35</v>
      </c>
      <c r="G205" s="11" t="n">
        <v>3</v>
      </c>
      <c r="H205" s="9"/>
    </row>
    <row r="206" customFormat="false" ht="15" hidden="false" customHeight="false" outlineLevel="0" collapsed="false">
      <c r="A206" s="10" t="s">
        <v>337</v>
      </c>
      <c r="B206" s="10" t="s">
        <v>335</v>
      </c>
      <c r="C206" s="10" t="s">
        <v>57</v>
      </c>
      <c r="D206" s="11"/>
      <c r="E206" s="11"/>
      <c r="F206" s="12" t="s">
        <v>35</v>
      </c>
      <c r="G206" s="11" t="n">
        <v>0</v>
      </c>
      <c r="H206" s="9"/>
    </row>
    <row r="207" customFormat="false" ht="29.85" hidden="false" customHeight="false" outlineLevel="0" collapsed="false">
      <c r="A207" s="18" t="s">
        <v>338</v>
      </c>
      <c r="B207" s="18" t="s">
        <v>219</v>
      </c>
      <c r="C207" s="17" t="s">
        <v>339</v>
      </c>
      <c r="D207" s="19" t="n">
        <v>20000</v>
      </c>
      <c r="E207" s="19" t="n">
        <v>20000</v>
      </c>
      <c r="F207" s="20" t="s">
        <v>47</v>
      </c>
      <c r="G207" s="20" t="n">
        <v>3</v>
      </c>
      <c r="H207" s="17"/>
    </row>
    <row r="208" customFormat="false" ht="29.85" hidden="false" customHeight="false" outlineLevel="0" collapsed="false">
      <c r="A208" s="18" t="s">
        <v>340</v>
      </c>
      <c r="B208" s="18" t="s">
        <v>219</v>
      </c>
      <c r="C208" s="17" t="s">
        <v>161</v>
      </c>
      <c r="D208" s="19" t="n">
        <v>5000</v>
      </c>
      <c r="E208" s="19" t="n">
        <v>5000</v>
      </c>
      <c r="F208" s="20" t="s">
        <v>47</v>
      </c>
      <c r="G208" s="20" t="n">
        <v>3</v>
      </c>
      <c r="H208" s="17"/>
    </row>
    <row r="209" customFormat="false" ht="29.85" hidden="false" customHeight="false" outlineLevel="0" collapsed="false">
      <c r="A209" s="14" t="s">
        <v>341</v>
      </c>
      <c r="B209" s="14" t="s">
        <v>38</v>
      </c>
      <c r="C209" s="13"/>
      <c r="D209" s="15"/>
      <c r="E209" s="15"/>
      <c r="F209" s="16" t="s">
        <v>39</v>
      </c>
      <c r="G209" s="15" t="n">
        <v>0</v>
      </c>
      <c r="H209" s="13"/>
    </row>
    <row r="210" customFormat="false" ht="15" hidden="false" customHeight="false" outlineLevel="0" collapsed="false">
      <c r="A210" s="14" t="s">
        <v>342</v>
      </c>
      <c r="B210" s="14" t="s">
        <v>343</v>
      </c>
      <c r="C210" s="13"/>
      <c r="D210" s="15"/>
      <c r="E210" s="15"/>
      <c r="F210" s="16" t="s">
        <v>39</v>
      </c>
      <c r="G210" s="15" t="n">
        <v>4</v>
      </c>
      <c r="H210" s="13"/>
    </row>
    <row r="211" customFormat="false" ht="15" hidden="false" customHeight="false" outlineLevel="0" collapsed="false">
      <c r="A211" s="10" t="s">
        <v>344</v>
      </c>
      <c r="B211" s="10" t="s">
        <v>119</v>
      </c>
      <c r="C211" s="10" t="s">
        <v>57</v>
      </c>
      <c r="D211" s="11"/>
      <c r="E211" s="11"/>
      <c r="F211" s="12" t="s">
        <v>35</v>
      </c>
      <c r="G211" s="11" t="n">
        <v>0</v>
      </c>
      <c r="H211" s="9"/>
    </row>
    <row r="212" customFormat="false" ht="29.85" hidden="false" customHeight="false" outlineLevel="0" collapsed="false">
      <c r="A212" s="14" t="s">
        <v>345</v>
      </c>
      <c r="B212" s="14" t="s">
        <v>346</v>
      </c>
      <c r="C212" s="13"/>
      <c r="D212" s="15"/>
      <c r="E212" s="15"/>
      <c r="F212" s="16" t="s">
        <v>39</v>
      </c>
      <c r="G212" s="15" t="n">
        <v>4</v>
      </c>
      <c r="H212" s="13"/>
    </row>
    <row r="213" customFormat="false" ht="15" hidden="false" customHeight="false" outlineLevel="0" collapsed="false">
      <c r="A213" s="14" t="s">
        <v>347</v>
      </c>
      <c r="B213" s="14" t="s">
        <v>343</v>
      </c>
      <c r="C213" s="13"/>
      <c r="D213" s="15"/>
      <c r="E213" s="15"/>
      <c r="F213" s="16" t="s">
        <v>39</v>
      </c>
      <c r="G213" s="15" t="n">
        <v>7</v>
      </c>
      <c r="H213" s="13"/>
    </row>
    <row r="214" customFormat="false" ht="15" hidden="false" customHeight="false" outlineLevel="0" collapsed="false">
      <c r="A214" s="18" t="s">
        <v>348</v>
      </c>
      <c r="B214" s="18" t="s">
        <v>349</v>
      </c>
      <c r="C214" s="17" t="s">
        <v>350</v>
      </c>
      <c r="D214" s="20"/>
      <c r="E214" s="20"/>
      <c r="F214" s="20" t="s">
        <v>47</v>
      </c>
      <c r="G214" s="20" t="n">
        <v>4</v>
      </c>
      <c r="H214" s="17"/>
    </row>
    <row r="215" customFormat="false" ht="29.85" hidden="false" customHeight="false" outlineLevel="0" collapsed="false">
      <c r="A215" s="18" t="s">
        <v>351</v>
      </c>
      <c r="B215" s="18" t="s">
        <v>349</v>
      </c>
      <c r="C215" s="17" t="s">
        <v>352</v>
      </c>
      <c r="D215" s="19" t="n">
        <v>700</v>
      </c>
      <c r="E215" s="19" t="n">
        <v>10000</v>
      </c>
      <c r="F215" s="20" t="s">
        <v>47</v>
      </c>
      <c r="G215" s="20" t="n">
        <v>14</v>
      </c>
      <c r="H215" s="17"/>
    </row>
    <row r="216" customFormat="false" ht="15" hidden="false" customHeight="false" outlineLevel="0" collapsed="false">
      <c r="A216" s="14" t="s">
        <v>353</v>
      </c>
      <c r="B216" s="14" t="s">
        <v>349</v>
      </c>
      <c r="C216" s="13"/>
      <c r="D216" s="15"/>
      <c r="E216" s="15"/>
      <c r="F216" s="16" t="s">
        <v>39</v>
      </c>
      <c r="G216" s="15" t="n">
        <v>14</v>
      </c>
      <c r="H216" s="13"/>
    </row>
    <row r="217" customFormat="false" ht="15" hidden="false" customHeight="false" outlineLevel="0" collapsed="false">
      <c r="A217" s="14" t="s">
        <v>354</v>
      </c>
      <c r="B217" s="14" t="s">
        <v>349</v>
      </c>
      <c r="C217" s="13"/>
      <c r="D217" s="15"/>
      <c r="E217" s="15"/>
      <c r="F217" s="16" t="s">
        <v>39</v>
      </c>
      <c r="G217" s="15" t="n">
        <v>30</v>
      </c>
      <c r="H217" s="13"/>
    </row>
    <row r="218" customFormat="false" ht="15" hidden="false" customHeight="false" outlineLevel="0" collapsed="false">
      <c r="A218" s="18" t="s">
        <v>355</v>
      </c>
      <c r="B218" s="18" t="s">
        <v>119</v>
      </c>
      <c r="C218" s="17" t="s">
        <v>261</v>
      </c>
      <c r="D218" s="19" t="n">
        <v>1000</v>
      </c>
      <c r="E218" s="19" t="n">
        <v>1000</v>
      </c>
      <c r="F218" s="20" t="s">
        <v>47</v>
      </c>
      <c r="G218" s="20" t="n">
        <v>0</v>
      </c>
      <c r="H218" s="17"/>
    </row>
    <row r="219" customFormat="false" ht="58.2" hidden="false" customHeight="false" outlineLevel="0" collapsed="false">
      <c r="A219" s="18" t="s">
        <v>356</v>
      </c>
      <c r="B219" s="18" t="s">
        <v>103</v>
      </c>
      <c r="C219" s="17" t="s">
        <v>357</v>
      </c>
      <c r="D219" s="19" t="n">
        <v>1000</v>
      </c>
      <c r="E219" s="19" t="n">
        <v>10000</v>
      </c>
      <c r="F219" s="20" t="s">
        <v>47</v>
      </c>
      <c r="G219" s="20" t="n">
        <v>0</v>
      </c>
      <c r="H219" s="17"/>
    </row>
    <row r="220" customFormat="false" ht="15" hidden="false" customHeight="false" outlineLevel="0" collapsed="false">
      <c r="A220" s="18" t="s">
        <v>358</v>
      </c>
      <c r="B220" s="18" t="s">
        <v>103</v>
      </c>
      <c r="C220" s="17" t="s">
        <v>359</v>
      </c>
      <c r="D220" s="19" t="n">
        <v>5000</v>
      </c>
      <c r="E220" s="19" t="n">
        <v>5000</v>
      </c>
      <c r="F220" s="20" t="s">
        <v>47</v>
      </c>
      <c r="G220" s="20" t="n">
        <v>0</v>
      </c>
      <c r="H220" s="17"/>
    </row>
    <row r="221" customFormat="false" ht="58.2" hidden="false" customHeight="false" outlineLevel="0" collapsed="false">
      <c r="A221" s="18" t="s">
        <v>360</v>
      </c>
      <c r="B221" s="18" t="s">
        <v>103</v>
      </c>
      <c r="C221" s="17" t="s">
        <v>357</v>
      </c>
      <c r="D221" s="19" t="n">
        <v>1000</v>
      </c>
      <c r="E221" s="19" t="n">
        <v>10000</v>
      </c>
      <c r="F221" s="20" t="s">
        <v>47</v>
      </c>
      <c r="G221" s="20" t="n">
        <v>0</v>
      </c>
      <c r="H221" s="17"/>
    </row>
    <row r="222" customFormat="false" ht="29.85" hidden="false" customHeight="false" outlineLevel="0" collapsed="false">
      <c r="A222" s="18" t="s">
        <v>361</v>
      </c>
      <c r="B222" s="18" t="s">
        <v>119</v>
      </c>
      <c r="C222" s="17" t="s">
        <v>261</v>
      </c>
      <c r="D222" s="19" t="n">
        <v>1000</v>
      </c>
      <c r="E222" s="19" t="n">
        <v>1000</v>
      </c>
      <c r="F222" s="20" t="s">
        <v>47</v>
      </c>
      <c r="G222" s="20" t="n">
        <v>2</v>
      </c>
      <c r="H222" s="17"/>
    </row>
    <row r="223" customFormat="false" ht="15" hidden="false" customHeight="false" outlineLevel="0" collapsed="false">
      <c r="A223" s="10" t="s">
        <v>362</v>
      </c>
      <c r="B223" s="9"/>
      <c r="C223" s="10" t="s">
        <v>57</v>
      </c>
      <c r="D223" s="11"/>
      <c r="E223" s="11"/>
      <c r="F223" s="12" t="s">
        <v>35</v>
      </c>
      <c r="G223" s="11" t="n">
        <v>30</v>
      </c>
      <c r="H223" s="9"/>
    </row>
    <row r="224" customFormat="false" ht="15" hidden="false" customHeight="false" outlineLevel="0" collapsed="false">
      <c r="A224" s="10" t="s">
        <v>363</v>
      </c>
      <c r="B224" s="10" t="s">
        <v>241</v>
      </c>
      <c r="C224" s="10" t="s">
        <v>57</v>
      </c>
      <c r="D224" s="11"/>
      <c r="E224" s="11"/>
      <c r="F224" s="12" t="s">
        <v>35</v>
      </c>
      <c r="G224" s="11" t="n">
        <v>0</v>
      </c>
      <c r="H224" s="9"/>
    </row>
    <row r="225" customFormat="false" ht="29.85" hidden="false" customHeight="false" outlineLevel="0" collapsed="false">
      <c r="A225" s="14" t="s">
        <v>364</v>
      </c>
      <c r="B225" s="14" t="s">
        <v>38</v>
      </c>
      <c r="C225" s="13"/>
      <c r="D225" s="15"/>
      <c r="E225" s="15"/>
      <c r="F225" s="16" t="s">
        <v>39</v>
      </c>
      <c r="G225" s="15" t="n">
        <v>0</v>
      </c>
      <c r="H225" s="13"/>
    </row>
    <row r="226" customFormat="false" ht="29.85" hidden="false" customHeight="false" outlineLevel="0" collapsed="false">
      <c r="A226" s="14" t="s">
        <v>365</v>
      </c>
      <c r="B226" s="14" t="s">
        <v>38</v>
      </c>
      <c r="C226" s="13"/>
      <c r="D226" s="15"/>
      <c r="E226" s="15"/>
      <c r="F226" s="16" t="s">
        <v>39</v>
      </c>
      <c r="G226" s="15" t="n">
        <v>7</v>
      </c>
      <c r="H226" s="13"/>
    </row>
    <row r="227" customFormat="false" ht="15" hidden="false" customHeight="false" outlineLevel="0" collapsed="false">
      <c r="A227" s="14" t="s">
        <v>366</v>
      </c>
      <c r="B227" s="14" t="s">
        <v>305</v>
      </c>
      <c r="C227" s="13"/>
      <c r="D227" s="15"/>
      <c r="E227" s="15"/>
      <c r="F227" s="16" t="s">
        <v>39</v>
      </c>
      <c r="G227" s="15" t="n">
        <v>0</v>
      </c>
      <c r="H227" s="13"/>
    </row>
    <row r="228" customFormat="false" ht="29.85" hidden="false" customHeight="false" outlineLevel="0" collapsed="false">
      <c r="A228" s="14" t="s">
        <v>367</v>
      </c>
      <c r="B228" s="14" t="s">
        <v>38</v>
      </c>
      <c r="C228" s="13"/>
      <c r="D228" s="15"/>
      <c r="E228" s="15"/>
      <c r="F228" s="16" t="s">
        <v>39</v>
      </c>
      <c r="G228" s="15" t="n">
        <v>7</v>
      </c>
      <c r="H228" s="13"/>
    </row>
    <row r="229" customFormat="false" ht="15" hidden="false" customHeight="false" outlineLevel="0" collapsed="false">
      <c r="A229" s="14" t="s">
        <v>368</v>
      </c>
      <c r="B229" s="14" t="s">
        <v>302</v>
      </c>
      <c r="C229" s="13"/>
      <c r="D229" s="15"/>
      <c r="E229" s="15"/>
      <c r="F229" s="16" t="s">
        <v>39</v>
      </c>
      <c r="G229" s="15" t="n">
        <v>0</v>
      </c>
      <c r="H229" s="13"/>
    </row>
    <row r="230" customFormat="false" ht="15" hidden="false" customHeight="false" outlineLevel="0" collapsed="false">
      <c r="A230" s="14" t="s">
        <v>369</v>
      </c>
      <c r="B230" s="13"/>
      <c r="C230" s="13"/>
      <c r="D230" s="15"/>
      <c r="E230" s="15"/>
      <c r="F230" s="16" t="s">
        <v>39</v>
      </c>
      <c r="G230" s="15" t="n">
        <v>0</v>
      </c>
      <c r="H230" s="13"/>
    </row>
    <row r="231" customFormat="false" ht="15" hidden="false" customHeight="false" outlineLevel="0" collapsed="false">
      <c r="A231" s="14" t="s">
        <v>370</v>
      </c>
      <c r="B231" s="14" t="s">
        <v>82</v>
      </c>
      <c r="C231" s="14" t="s">
        <v>371</v>
      </c>
      <c r="D231" s="15"/>
      <c r="E231" s="15"/>
      <c r="F231" s="16" t="s">
        <v>39</v>
      </c>
      <c r="G231" s="15" t="n">
        <v>5</v>
      </c>
      <c r="H231" s="13"/>
    </row>
    <row r="232" customFormat="false" ht="29.85" hidden="false" customHeight="false" outlineLevel="0" collapsed="false">
      <c r="A232" s="14" t="s">
        <v>372</v>
      </c>
      <c r="B232" s="14" t="s">
        <v>82</v>
      </c>
      <c r="C232" s="14" t="s">
        <v>371</v>
      </c>
      <c r="D232" s="15"/>
      <c r="E232" s="15"/>
      <c r="F232" s="16" t="s">
        <v>39</v>
      </c>
      <c r="G232" s="15" t="n">
        <v>0</v>
      </c>
      <c r="H232" s="13"/>
    </row>
    <row r="233" customFormat="false" ht="15" hidden="false" customHeight="false" outlineLevel="0" collapsed="false">
      <c r="A233" s="14" t="s">
        <v>373</v>
      </c>
      <c r="B233" s="14" t="s">
        <v>82</v>
      </c>
      <c r="C233" s="14" t="s">
        <v>371</v>
      </c>
      <c r="D233" s="15"/>
      <c r="E233" s="15"/>
      <c r="F233" s="16" t="s">
        <v>39</v>
      </c>
      <c r="G233" s="15" t="n">
        <v>5</v>
      </c>
      <c r="H233" s="13"/>
    </row>
    <row r="234" customFormat="false" ht="15" hidden="false" customHeight="false" outlineLevel="0" collapsed="false">
      <c r="A234" s="18" t="s">
        <v>374</v>
      </c>
      <c r="B234" s="18" t="s">
        <v>82</v>
      </c>
      <c r="C234" s="17" t="s">
        <v>375</v>
      </c>
      <c r="D234" s="19" t="n">
        <v>10000</v>
      </c>
      <c r="E234" s="19" t="n">
        <v>10000</v>
      </c>
      <c r="F234" s="20" t="s">
        <v>47</v>
      </c>
      <c r="G234" s="20" t="n">
        <v>10</v>
      </c>
      <c r="H234" s="17"/>
    </row>
    <row r="235" customFormat="false" ht="15" hidden="false" customHeight="false" outlineLevel="0" collapsed="false">
      <c r="A235" s="18" t="s">
        <v>376</v>
      </c>
      <c r="B235" s="18" t="s">
        <v>82</v>
      </c>
      <c r="C235" s="17" t="s">
        <v>375</v>
      </c>
      <c r="D235" s="19" t="n">
        <v>10000</v>
      </c>
      <c r="E235" s="19" t="n">
        <v>10000</v>
      </c>
      <c r="F235" s="20" t="s">
        <v>47</v>
      </c>
      <c r="G235" s="20" t="n">
        <v>10</v>
      </c>
      <c r="H235" s="17"/>
    </row>
    <row r="236" customFormat="false" ht="15" hidden="false" customHeight="false" outlineLevel="0" collapsed="false">
      <c r="A236" s="10" t="s">
        <v>377</v>
      </c>
      <c r="B236" s="10" t="s">
        <v>335</v>
      </c>
      <c r="C236" s="10" t="s">
        <v>57</v>
      </c>
      <c r="D236" s="11"/>
      <c r="E236" s="11"/>
      <c r="F236" s="12" t="s">
        <v>35</v>
      </c>
      <c r="G236" s="11" t="n">
        <v>14</v>
      </c>
      <c r="H236" s="9"/>
    </row>
    <row r="237" customFormat="false" ht="15" hidden="false" customHeight="false" outlineLevel="0" collapsed="false">
      <c r="A237" s="10" t="s">
        <v>378</v>
      </c>
      <c r="B237" s="10" t="s">
        <v>335</v>
      </c>
      <c r="C237" s="10" t="s">
        <v>57</v>
      </c>
      <c r="D237" s="11"/>
      <c r="E237" s="11"/>
      <c r="F237" s="12" t="s">
        <v>35</v>
      </c>
      <c r="G237" s="11" t="n">
        <v>3</v>
      </c>
      <c r="H237" s="9"/>
    </row>
    <row r="238" customFormat="false" ht="15" hidden="false" customHeight="false" outlineLevel="0" collapsed="false">
      <c r="A238" s="10" t="s">
        <v>379</v>
      </c>
      <c r="B238" s="10" t="s">
        <v>335</v>
      </c>
      <c r="C238" s="10" t="s">
        <v>57</v>
      </c>
      <c r="D238" s="11"/>
      <c r="E238" s="11"/>
      <c r="F238" s="12" t="s">
        <v>35</v>
      </c>
      <c r="G238" s="11" t="n">
        <v>3</v>
      </c>
      <c r="H238" s="9"/>
    </row>
    <row r="239" customFormat="false" ht="15" hidden="false" customHeight="false" outlineLevel="0" collapsed="false">
      <c r="A239" s="18" t="s">
        <v>380</v>
      </c>
      <c r="B239" s="18" t="s">
        <v>335</v>
      </c>
      <c r="C239" s="17" t="s">
        <v>381</v>
      </c>
      <c r="D239" s="19" t="n">
        <v>100000</v>
      </c>
      <c r="E239" s="19" t="n">
        <v>100000</v>
      </c>
      <c r="F239" s="20" t="s">
        <v>47</v>
      </c>
      <c r="G239" s="20" t="n">
        <v>14</v>
      </c>
      <c r="H239" s="17"/>
    </row>
    <row r="240" customFormat="false" ht="15" hidden="false" customHeight="false" outlineLevel="0" collapsed="false">
      <c r="A240" s="10" t="s">
        <v>382</v>
      </c>
      <c r="B240" s="10" t="s">
        <v>335</v>
      </c>
      <c r="C240" s="10" t="s">
        <v>57</v>
      </c>
      <c r="D240" s="11"/>
      <c r="E240" s="11"/>
      <c r="F240" s="12" t="s">
        <v>35</v>
      </c>
      <c r="G240" s="11" t="n">
        <v>14</v>
      </c>
      <c r="H240" s="9"/>
    </row>
    <row r="241" customFormat="false" ht="15" hidden="false" customHeight="false" outlineLevel="0" collapsed="false">
      <c r="A241" s="18" t="s">
        <v>383</v>
      </c>
      <c r="B241" s="18" t="s">
        <v>67</v>
      </c>
      <c r="C241" s="18" t="s">
        <v>65</v>
      </c>
      <c r="D241" s="20"/>
      <c r="E241" s="20"/>
      <c r="F241" s="20" t="s">
        <v>47</v>
      </c>
      <c r="G241" s="20" t="n">
        <v>3</v>
      </c>
      <c r="H241" s="17"/>
    </row>
    <row r="242" customFormat="false" ht="15" hidden="false" customHeight="false" outlineLevel="0" collapsed="false">
      <c r="A242" s="14" t="s">
        <v>384</v>
      </c>
      <c r="B242" s="14" t="s">
        <v>103</v>
      </c>
      <c r="C242" s="13"/>
      <c r="D242" s="15"/>
      <c r="E242" s="15"/>
      <c r="F242" s="16" t="s">
        <v>39</v>
      </c>
      <c r="G242" s="15" t="n">
        <v>3</v>
      </c>
      <c r="H242" s="13"/>
    </row>
    <row r="243" customFormat="false" ht="15" hidden="false" customHeight="false" outlineLevel="0" collapsed="false">
      <c r="A243" s="14" t="s">
        <v>385</v>
      </c>
      <c r="B243" s="14" t="s">
        <v>103</v>
      </c>
      <c r="C243" s="13"/>
      <c r="D243" s="15"/>
      <c r="E243" s="15"/>
      <c r="F243" s="16" t="s">
        <v>39</v>
      </c>
      <c r="G243" s="15" t="n">
        <v>21</v>
      </c>
      <c r="H243" s="13"/>
    </row>
    <row r="244" customFormat="false" ht="15" hidden="false" customHeight="false" outlineLevel="0" collapsed="false">
      <c r="A244" s="18" t="s">
        <v>386</v>
      </c>
      <c r="B244" s="18" t="s">
        <v>98</v>
      </c>
      <c r="C244" s="18" t="s">
        <v>387</v>
      </c>
      <c r="D244" s="19" t="n">
        <v>300</v>
      </c>
      <c r="E244" s="19" t="n">
        <v>500</v>
      </c>
      <c r="F244" s="20" t="s">
        <v>47</v>
      </c>
      <c r="G244" s="20" t="n">
        <v>0</v>
      </c>
      <c r="H244" s="17"/>
    </row>
    <row r="245" customFormat="false" ht="15" hidden="false" customHeight="false" outlineLevel="0" collapsed="false">
      <c r="A245" s="14" t="s">
        <v>388</v>
      </c>
      <c r="B245" s="14" t="s">
        <v>103</v>
      </c>
      <c r="C245" s="13"/>
      <c r="D245" s="15"/>
      <c r="E245" s="15"/>
      <c r="F245" s="16" t="s">
        <v>39</v>
      </c>
      <c r="G245" s="15" t="n">
        <v>5</v>
      </c>
      <c r="H245" s="13"/>
    </row>
    <row r="246" customFormat="false" ht="15" hidden="false" customHeight="false" outlineLevel="0" collapsed="false">
      <c r="A246" s="18" t="s">
        <v>389</v>
      </c>
      <c r="B246" s="18" t="s">
        <v>103</v>
      </c>
      <c r="C246" s="17" t="s">
        <v>261</v>
      </c>
      <c r="D246" s="19" t="n">
        <v>1000</v>
      </c>
      <c r="E246" s="19" t="n">
        <v>1000</v>
      </c>
      <c r="F246" s="20" t="s">
        <v>47</v>
      </c>
      <c r="G246" s="20" t="n">
        <v>3</v>
      </c>
      <c r="H246" s="17"/>
    </row>
    <row r="247" customFormat="false" ht="15" hidden="false" customHeight="false" outlineLevel="0" collapsed="false">
      <c r="A247" s="18" t="s">
        <v>390</v>
      </c>
      <c r="B247" s="18" t="s">
        <v>103</v>
      </c>
      <c r="C247" s="17" t="s">
        <v>261</v>
      </c>
      <c r="D247" s="19" t="n">
        <v>1000</v>
      </c>
      <c r="E247" s="19" t="n">
        <v>1000</v>
      </c>
      <c r="F247" s="20" t="s">
        <v>47</v>
      </c>
      <c r="G247" s="20" t="n">
        <v>5</v>
      </c>
      <c r="H247" s="17"/>
    </row>
    <row r="248" customFormat="false" ht="15" hidden="false" customHeight="false" outlineLevel="0" collapsed="false">
      <c r="A248" s="14" t="s">
        <v>391</v>
      </c>
      <c r="B248" s="14" t="s">
        <v>103</v>
      </c>
      <c r="C248" s="13"/>
      <c r="D248" s="15"/>
      <c r="E248" s="15"/>
      <c r="F248" s="16" t="s">
        <v>39</v>
      </c>
      <c r="G248" s="15" t="n">
        <v>5</v>
      </c>
      <c r="H248" s="13"/>
    </row>
    <row r="249" customFormat="false" ht="29.85" hidden="false" customHeight="false" outlineLevel="0" collapsed="false">
      <c r="A249" s="18" t="s">
        <v>392</v>
      </c>
      <c r="B249" s="18" t="s">
        <v>103</v>
      </c>
      <c r="C249" s="17" t="s">
        <v>261</v>
      </c>
      <c r="D249" s="19" t="n">
        <v>1000</v>
      </c>
      <c r="E249" s="19" t="n">
        <v>1000</v>
      </c>
      <c r="F249" s="20" t="s">
        <v>47</v>
      </c>
      <c r="G249" s="20" t="n">
        <v>5</v>
      </c>
      <c r="H249" s="17"/>
    </row>
    <row r="250" customFormat="false" ht="15" hidden="false" customHeight="false" outlineLevel="0" collapsed="false">
      <c r="A250" s="18" t="s">
        <v>393</v>
      </c>
      <c r="B250" s="18" t="s">
        <v>103</v>
      </c>
      <c r="C250" s="17" t="s">
        <v>261</v>
      </c>
      <c r="D250" s="19" t="n">
        <v>1000</v>
      </c>
      <c r="E250" s="19" t="n">
        <v>1000</v>
      </c>
      <c r="F250" s="20" t="s">
        <v>47</v>
      </c>
      <c r="G250" s="20" t="n">
        <v>3</v>
      </c>
      <c r="H250" s="17"/>
    </row>
    <row r="251" customFormat="false" ht="15" hidden="false" customHeight="false" outlineLevel="0" collapsed="false">
      <c r="A251" s="18" t="s">
        <v>394</v>
      </c>
      <c r="B251" s="18" t="s">
        <v>67</v>
      </c>
      <c r="C251" s="18" t="s">
        <v>68</v>
      </c>
      <c r="D251" s="20"/>
      <c r="E251" s="20"/>
      <c r="F251" s="20" t="s">
        <v>47</v>
      </c>
      <c r="G251" s="20" t="n">
        <v>5</v>
      </c>
      <c r="H251" s="17"/>
    </row>
    <row r="252" customFormat="false" ht="15" hidden="false" customHeight="false" outlineLevel="0" collapsed="false">
      <c r="A252" s="14" t="s">
        <v>395</v>
      </c>
      <c r="B252" s="14" t="s">
        <v>396</v>
      </c>
      <c r="C252" s="13"/>
      <c r="D252" s="15"/>
      <c r="E252" s="15"/>
      <c r="F252" s="16" t="s">
        <v>39</v>
      </c>
      <c r="G252" s="15" t="n">
        <v>80</v>
      </c>
      <c r="H252" s="13"/>
    </row>
    <row r="253" customFormat="false" ht="15" hidden="false" customHeight="false" outlineLevel="0" collapsed="false">
      <c r="A253" s="10" t="s">
        <v>397</v>
      </c>
      <c r="B253" s="10" t="s">
        <v>132</v>
      </c>
      <c r="C253" s="10" t="s">
        <v>57</v>
      </c>
      <c r="D253" s="11"/>
      <c r="E253" s="11"/>
      <c r="F253" s="12" t="s">
        <v>35</v>
      </c>
      <c r="G253" s="11" t="n">
        <v>5</v>
      </c>
      <c r="H253" s="9"/>
    </row>
    <row r="254" customFormat="false" ht="15" hidden="false" customHeight="false" outlineLevel="0" collapsed="false">
      <c r="A254" s="14" t="s">
        <v>398</v>
      </c>
      <c r="B254" s="14" t="s">
        <v>399</v>
      </c>
      <c r="C254" s="13"/>
      <c r="D254" s="15"/>
      <c r="E254" s="15"/>
      <c r="F254" s="16" t="s">
        <v>39</v>
      </c>
      <c r="G254" s="15" t="n">
        <v>10</v>
      </c>
      <c r="H254" s="13"/>
    </row>
    <row r="255" customFormat="false" ht="15" hidden="false" customHeight="false" outlineLevel="0" collapsed="false">
      <c r="A255" s="14" t="s">
        <v>400</v>
      </c>
      <c r="B255" s="14" t="s">
        <v>401</v>
      </c>
      <c r="C255" s="13"/>
      <c r="D255" s="15"/>
      <c r="E255" s="15"/>
      <c r="F255" s="16" t="s">
        <v>39</v>
      </c>
      <c r="G255" s="15" t="n">
        <v>60</v>
      </c>
      <c r="H255" s="13"/>
    </row>
    <row r="256" customFormat="false" ht="15" hidden="false" customHeight="false" outlineLevel="0" collapsed="false">
      <c r="A256" s="14" t="s">
        <v>402</v>
      </c>
      <c r="B256" s="14" t="s">
        <v>51</v>
      </c>
      <c r="C256" s="13"/>
      <c r="D256" s="15"/>
      <c r="E256" s="15"/>
      <c r="F256" s="16" t="s">
        <v>39</v>
      </c>
      <c r="G256" s="15" t="n">
        <v>0</v>
      </c>
      <c r="H256" s="13"/>
    </row>
    <row r="257" customFormat="false" ht="15" hidden="false" customHeight="false" outlineLevel="0" collapsed="false">
      <c r="A257" s="14" t="s">
        <v>403</v>
      </c>
      <c r="B257" s="14" t="s">
        <v>51</v>
      </c>
      <c r="C257" s="13"/>
      <c r="D257" s="15"/>
      <c r="E257" s="15"/>
      <c r="F257" s="16" t="s">
        <v>39</v>
      </c>
      <c r="G257" s="15" t="n">
        <v>4</v>
      </c>
      <c r="H257" s="13"/>
    </row>
    <row r="258" customFormat="false" ht="15" hidden="false" customHeight="false" outlineLevel="0" collapsed="false">
      <c r="A258" s="18" t="s">
        <v>404</v>
      </c>
      <c r="B258" s="18" t="s">
        <v>51</v>
      </c>
      <c r="C258" s="17" t="s">
        <v>54</v>
      </c>
      <c r="D258" s="19" t="n">
        <v>25000</v>
      </c>
      <c r="E258" s="19" t="n">
        <v>25000</v>
      </c>
      <c r="F258" s="20" t="s">
        <v>47</v>
      </c>
      <c r="G258" s="20" t="n">
        <v>4</v>
      </c>
      <c r="H258" s="17"/>
    </row>
    <row r="259" customFormat="false" ht="15" hidden="false" customHeight="false" outlineLevel="0" collapsed="false">
      <c r="A259" s="14" t="s">
        <v>405</v>
      </c>
      <c r="B259" s="14" t="s">
        <v>401</v>
      </c>
      <c r="C259" s="13"/>
      <c r="D259" s="15"/>
      <c r="E259" s="15"/>
      <c r="F259" s="16" t="s">
        <v>39</v>
      </c>
      <c r="G259" s="15" t="n">
        <v>30</v>
      </c>
      <c r="H259" s="13"/>
    </row>
    <row r="260" customFormat="false" ht="15" hidden="false" customHeight="false" outlineLevel="0" collapsed="false">
      <c r="A260" s="14" t="s">
        <v>406</v>
      </c>
      <c r="B260" s="14" t="s">
        <v>401</v>
      </c>
      <c r="C260" s="13"/>
      <c r="D260" s="15"/>
      <c r="E260" s="15"/>
      <c r="F260" s="16" t="s">
        <v>39</v>
      </c>
      <c r="G260" s="15" t="n">
        <v>30</v>
      </c>
      <c r="H260" s="13"/>
    </row>
    <row r="261" customFormat="false" ht="15" hidden="false" customHeight="false" outlineLevel="0" collapsed="false">
      <c r="A261" s="14" t="s">
        <v>407</v>
      </c>
      <c r="B261" s="14" t="s">
        <v>401</v>
      </c>
      <c r="C261" s="13"/>
      <c r="D261" s="15"/>
      <c r="E261" s="15"/>
      <c r="F261" s="16" t="s">
        <v>39</v>
      </c>
      <c r="G261" s="15" t="n">
        <v>120</v>
      </c>
      <c r="H261" s="13"/>
    </row>
    <row r="262" customFormat="false" ht="15" hidden="false" customHeight="false" outlineLevel="0" collapsed="false">
      <c r="A262" s="18" t="s">
        <v>408</v>
      </c>
      <c r="B262" s="18" t="s">
        <v>409</v>
      </c>
      <c r="C262" s="17" t="s">
        <v>410</v>
      </c>
      <c r="D262" s="19" t="n">
        <v>1500</v>
      </c>
      <c r="E262" s="19" t="n">
        <v>1500</v>
      </c>
      <c r="F262" s="20" t="s">
        <v>47</v>
      </c>
      <c r="G262" s="20" t="n">
        <v>3</v>
      </c>
      <c r="H262" s="17"/>
    </row>
    <row r="263" customFormat="false" ht="15" hidden="false" customHeight="false" outlineLevel="0" collapsed="false">
      <c r="A263" s="18" t="s">
        <v>411</v>
      </c>
      <c r="B263" s="18" t="s">
        <v>409</v>
      </c>
      <c r="C263" s="18" t="s">
        <v>412</v>
      </c>
      <c r="D263" s="19" t="n">
        <v>1500</v>
      </c>
      <c r="E263" s="19" t="n">
        <v>13500</v>
      </c>
      <c r="F263" s="20" t="s">
        <v>47</v>
      </c>
      <c r="G263" s="20" t="n">
        <v>3</v>
      </c>
      <c r="H263" s="17"/>
    </row>
    <row r="264" customFormat="false" ht="15" hidden="false" customHeight="false" outlineLevel="0" collapsed="false">
      <c r="A264" s="18" t="s">
        <v>413</v>
      </c>
      <c r="B264" s="18" t="s">
        <v>409</v>
      </c>
      <c r="C264" s="18" t="s">
        <v>412</v>
      </c>
      <c r="D264" s="19" t="n">
        <v>1500</v>
      </c>
      <c r="E264" s="19" t="n">
        <v>13500</v>
      </c>
      <c r="F264" s="20" t="s">
        <v>47</v>
      </c>
      <c r="G264" s="20" t="n">
        <v>14</v>
      </c>
      <c r="H264" s="17"/>
    </row>
    <row r="265" customFormat="false" ht="15" hidden="false" customHeight="false" outlineLevel="0" collapsed="false">
      <c r="A265" s="18" t="s">
        <v>414</v>
      </c>
      <c r="B265" s="18" t="s">
        <v>409</v>
      </c>
      <c r="C265" s="17" t="s">
        <v>415</v>
      </c>
      <c r="D265" s="20"/>
      <c r="E265" s="20"/>
      <c r="F265" s="20" t="s">
        <v>47</v>
      </c>
      <c r="G265" s="20" t="n">
        <v>3</v>
      </c>
      <c r="H265" s="17"/>
    </row>
    <row r="266" customFormat="false" ht="15" hidden="false" customHeight="false" outlineLevel="0" collapsed="false">
      <c r="A266" s="14" t="s">
        <v>416</v>
      </c>
      <c r="B266" s="14" t="s">
        <v>305</v>
      </c>
      <c r="C266" s="13"/>
      <c r="D266" s="15"/>
      <c r="E266" s="15"/>
      <c r="F266" s="16" t="s">
        <v>39</v>
      </c>
      <c r="G266" s="15" t="n">
        <v>3</v>
      </c>
      <c r="H266" s="13"/>
    </row>
    <row r="267" customFormat="false" ht="15" hidden="false" customHeight="false" outlineLevel="0" collapsed="false">
      <c r="A267" s="14" t="s">
        <v>417</v>
      </c>
      <c r="B267" s="14" t="s">
        <v>302</v>
      </c>
      <c r="C267" s="13"/>
      <c r="D267" s="15"/>
      <c r="E267" s="15"/>
      <c r="F267" s="16" t="s">
        <v>39</v>
      </c>
      <c r="G267" s="15" t="n">
        <v>3</v>
      </c>
      <c r="H267" s="13"/>
    </row>
    <row r="268" customFormat="false" ht="15" hidden="false" customHeight="false" outlineLevel="0" collapsed="false">
      <c r="A268" s="10" t="s">
        <v>418</v>
      </c>
      <c r="B268" s="10" t="s">
        <v>92</v>
      </c>
      <c r="C268" s="10" t="s">
        <v>57</v>
      </c>
      <c r="D268" s="11"/>
      <c r="E268" s="11"/>
      <c r="F268" s="12" t="s">
        <v>35</v>
      </c>
      <c r="G268" s="11" t="n">
        <v>3</v>
      </c>
      <c r="H268" s="9"/>
    </row>
    <row r="269" customFormat="false" ht="58.2" hidden="false" customHeight="false" outlineLevel="0" collapsed="false">
      <c r="A269" s="10" t="s">
        <v>419</v>
      </c>
      <c r="B269" s="10" t="s">
        <v>92</v>
      </c>
      <c r="C269" s="9" t="s">
        <v>420</v>
      </c>
      <c r="D269" s="21" t="n">
        <v>3000</v>
      </c>
      <c r="E269" s="21" t="n">
        <v>10000</v>
      </c>
      <c r="F269" s="12" t="s">
        <v>35</v>
      </c>
      <c r="G269" s="11" t="n">
        <v>10</v>
      </c>
      <c r="H269" s="9"/>
    </row>
    <row r="270" customFormat="false" ht="29.85" hidden="false" customHeight="false" outlineLevel="0" collapsed="false">
      <c r="A270" s="18" t="s">
        <v>421</v>
      </c>
      <c r="B270" s="18" t="s">
        <v>38</v>
      </c>
      <c r="C270" s="17" t="s">
        <v>161</v>
      </c>
      <c r="D270" s="19" t="n">
        <v>5000</v>
      </c>
      <c r="E270" s="19" t="n">
        <v>5000</v>
      </c>
      <c r="F270" s="20" t="s">
        <v>47</v>
      </c>
      <c r="G270" s="20" t="n">
        <v>7</v>
      </c>
      <c r="H270" s="17"/>
    </row>
    <row r="271" customFormat="false" ht="29.85" hidden="false" customHeight="false" outlineLevel="0" collapsed="false">
      <c r="A271" s="18" t="s">
        <v>422</v>
      </c>
      <c r="B271" s="18" t="s">
        <v>38</v>
      </c>
      <c r="C271" s="17" t="s">
        <v>161</v>
      </c>
      <c r="D271" s="19" t="n">
        <v>5000</v>
      </c>
      <c r="E271" s="19" t="n">
        <v>5000</v>
      </c>
      <c r="F271" s="20" t="s">
        <v>47</v>
      </c>
      <c r="G271" s="20" t="n">
        <v>2</v>
      </c>
      <c r="H271" s="17"/>
    </row>
    <row r="272" customFormat="false" ht="29.85" hidden="false" customHeight="false" outlineLevel="0" collapsed="false">
      <c r="A272" s="18" t="s">
        <v>423</v>
      </c>
      <c r="B272" s="18" t="s">
        <v>38</v>
      </c>
      <c r="C272" s="17" t="s">
        <v>261</v>
      </c>
      <c r="D272" s="19" t="n">
        <v>1000</v>
      </c>
      <c r="E272" s="19" t="n">
        <v>1000</v>
      </c>
      <c r="F272" s="20" t="s">
        <v>47</v>
      </c>
      <c r="G272" s="20" t="n">
        <v>2</v>
      </c>
      <c r="H272" s="17"/>
    </row>
    <row r="273" customFormat="false" ht="29.85" hidden="false" customHeight="false" outlineLevel="0" collapsed="false">
      <c r="A273" s="18" t="s">
        <v>424</v>
      </c>
      <c r="B273" s="18" t="s">
        <v>38</v>
      </c>
      <c r="C273" s="17" t="s">
        <v>161</v>
      </c>
      <c r="D273" s="19" t="n">
        <v>5000</v>
      </c>
      <c r="E273" s="19" t="n">
        <v>5000</v>
      </c>
      <c r="F273" s="20" t="s">
        <v>47</v>
      </c>
      <c r="G273" s="20" t="n">
        <v>4</v>
      </c>
      <c r="H273" s="17"/>
    </row>
    <row r="274" customFormat="false" ht="15" hidden="false" customHeight="false" outlineLevel="0" collapsed="false">
      <c r="A274" s="18" t="s">
        <v>425</v>
      </c>
      <c r="B274" s="18" t="s">
        <v>305</v>
      </c>
      <c r="C274" s="17" t="s">
        <v>375</v>
      </c>
      <c r="D274" s="19" t="n">
        <v>10000</v>
      </c>
      <c r="E274" s="19" t="n">
        <v>10000</v>
      </c>
      <c r="F274" s="20" t="s">
        <v>47</v>
      </c>
      <c r="G274" s="20" t="n">
        <v>15</v>
      </c>
      <c r="H274" s="17"/>
    </row>
    <row r="275" customFormat="false" ht="15" hidden="false" customHeight="false" outlineLevel="0" collapsed="false">
      <c r="A275" s="18" t="s">
        <v>426</v>
      </c>
      <c r="B275" s="18" t="s">
        <v>302</v>
      </c>
      <c r="C275" s="17" t="s">
        <v>375</v>
      </c>
      <c r="D275" s="19" t="n">
        <v>10000</v>
      </c>
      <c r="E275" s="19" t="n">
        <v>10000</v>
      </c>
      <c r="F275" s="20" t="s">
        <v>47</v>
      </c>
      <c r="G275" s="20" t="n">
        <v>15</v>
      </c>
      <c r="H275" s="17"/>
    </row>
    <row r="276" customFormat="false" ht="15" hidden="false" customHeight="false" outlineLevel="0" collapsed="false">
      <c r="A276" s="18" t="s">
        <v>427</v>
      </c>
      <c r="B276" s="18" t="s">
        <v>305</v>
      </c>
      <c r="C276" s="17" t="s">
        <v>375</v>
      </c>
      <c r="D276" s="19" t="n">
        <v>10000</v>
      </c>
      <c r="E276" s="19" t="n">
        <v>10000</v>
      </c>
      <c r="F276" s="20" t="s">
        <v>47</v>
      </c>
      <c r="G276" s="20" t="n">
        <v>7</v>
      </c>
      <c r="H276" s="17"/>
    </row>
    <row r="277" customFormat="false" ht="15" hidden="false" customHeight="false" outlineLevel="0" collapsed="false">
      <c r="A277" s="18" t="s">
        <v>428</v>
      </c>
      <c r="B277" s="18" t="s">
        <v>302</v>
      </c>
      <c r="C277" s="17" t="s">
        <v>375</v>
      </c>
      <c r="D277" s="19" t="n">
        <v>10000</v>
      </c>
      <c r="E277" s="19" t="n">
        <v>10000</v>
      </c>
      <c r="F277" s="20" t="s">
        <v>47</v>
      </c>
      <c r="G277" s="20" t="n">
        <v>7</v>
      </c>
      <c r="H277" s="17"/>
    </row>
    <row r="278" customFormat="false" ht="29.85" hidden="false" customHeight="false" outlineLevel="0" collapsed="false">
      <c r="A278" s="18" t="s">
        <v>429</v>
      </c>
      <c r="B278" s="18" t="s">
        <v>77</v>
      </c>
      <c r="C278" s="17" t="s">
        <v>430</v>
      </c>
      <c r="D278" s="19" t="n">
        <v>1400</v>
      </c>
      <c r="E278" s="19" t="n">
        <v>1400</v>
      </c>
      <c r="F278" s="20" t="s">
        <v>47</v>
      </c>
      <c r="G278" s="20" t="n">
        <v>3</v>
      </c>
      <c r="H278" s="17"/>
    </row>
    <row r="279" customFormat="false" ht="44" hidden="false" customHeight="false" outlineLevel="0" collapsed="false">
      <c r="A279" s="18" t="s">
        <v>431</v>
      </c>
      <c r="B279" s="18" t="s">
        <v>132</v>
      </c>
      <c r="C279" s="17" t="s">
        <v>432</v>
      </c>
      <c r="D279" s="19" t="n">
        <v>12000</v>
      </c>
      <c r="E279" s="19" t="n">
        <v>15000</v>
      </c>
      <c r="F279" s="20" t="s">
        <v>47</v>
      </c>
      <c r="G279" s="20" t="n">
        <v>0</v>
      </c>
      <c r="H279" s="17"/>
    </row>
    <row r="280" customFormat="false" ht="44" hidden="false" customHeight="false" outlineLevel="0" collapsed="false">
      <c r="A280" s="18" t="s">
        <v>433</v>
      </c>
      <c r="B280" s="17"/>
      <c r="C280" s="17" t="s">
        <v>434</v>
      </c>
      <c r="D280" s="19" t="n">
        <v>12000</v>
      </c>
      <c r="E280" s="19" t="n">
        <v>15000</v>
      </c>
      <c r="F280" s="20" t="s">
        <v>47</v>
      </c>
      <c r="G280" s="20" t="n">
        <v>0</v>
      </c>
      <c r="H280" s="17"/>
    </row>
    <row r="281" customFormat="false" ht="15" hidden="false" customHeight="false" outlineLevel="0" collapsed="false">
      <c r="A281" s="10" t="s">
        <v>435</v>
      </c>
      <c r="B281" s="10" t="s">
        <v>132</v>
      </c>
      <c r="C281" s="10" t="s">
        <v>57</v>
      </c>
      <c r="D281" s="11"/>
      <c r="E281" s="11"/>
      <c r="F281" s="12" t="s">
        <v>35</v>
      </c>
      <c r="G281" s="11" t="n">
        <v>6</v>
      </c>
      <c r="H281" s="9"/>
    </row>
    <row r="282" customFormat="false" ht="44" hidden="false" customHeight="false" outlineLevel="0" collapsed="false">
      <c r="A282" s="18" t="s">
        <v>436</v>
      </c>
      <c r="B282" s="17"/>
      <c r="C282" s="17" t="s">
        <v>437</v>
      </c>
      <c r="D282" s="19" t="n">
        <v>10000</v>
      </c>
      <c r="E282" s="19" t="n">
        <v>28000</v>
      </c>
      <c r="F282" s="20" t="s">
        <v>47</v>
      </c>
      <c r="G282" s="20" t="n">
        <v>1</v>
      </c>
      <c r="H282" s="17"/>
    </row>
    <row r="283" customFormat="false" ht="15" hidden="false" customHeight="false" outlineLevel="0" collapsed="false">
      <c r="A283" s="10" t="s">
        <v>438</v>
      </c>
      <c r="B283" s="10" t="s">
        <v>132</v>
      </c>
      <c r="C283" s="10" t="s">
        <v>57</v>
      </c>
      <c r="D283" s="11"/>
      <c r="E283" s="11"/>
      <c r="F283" s="12" t="s">
        <v>35</v>
      </c>
      <c r="G283" s="11" t="n">
        <v>7</v>
      </c>
      <c r="H283" s="9"/>
    </row>
    <row r="284" customFormat="false" ht="86.55" hidden="false" customHeight="false" outlineLevel="0" collapsed="false">
      <c r="A284" s="18" t="s">
        <v>439</v>
      </c>
      <c r="B284" s="18" t="s">
        <v>132</v>
      </c>
      <c r="C284" s="17" t="s">
        <v>440</v>
      </c>
      <c r="D284" s="19" t="n">
        <v>12000</v>
      </c>
      <c r="E284" s="19" t="n">
        <v>35000</v>
      </c>
      <c r="F284" s="20" t="s">
        <v>47</v>
      </c>
      <c r="G284" s="20" t="n">
        <v>0</v>
      </c>
      <c r="H284" s="17"/>
    </row>
    <row r="285" customFormat="false" ht="15" hidden="false" customHeight="false" outlineLevel="0" collapsed="false">
      <c r="A285" s="14" t="s">
        <v>441</v>
      </c>
      <c r="B285" s="14" t="s">
        <v>396</v>
      </c>
      <c r="C285" s="13"/>
      <c r="D285" s="15"/>
      <c r="E285" s="15"/>
      <c r="F285" s="16" t="s">
        <v>39</v>
      </c>
      <c r="G285" s="15" t="n">
        <v>3</v>
      </c>
      <c r="H285" s="13"/>
    </row>
    <row r="286" customFormat="false" ht="15" hidden="false" customHeight="false" outlineLevel="0" collapsed="false">
      <c r="A286" s="10" t="s">
        <v>442</v>
      </c>
      <c r="B286" s="10" t="s">
        <v>119</v>
      </c>
      <c r="C286" s="10" t="s">
        <v>443</v>
      </c>
      <c r="D286" s="11"/>
      <c r="E286" s="11"/>
      <c r="F286" s="12" t="s">
        <v>35</v>
      </c>
      <c r="G286" s="11" t="n">
        <v>0</v>
      </c>
      <c r="H286" s="9"/>
    </row>
    <row r="287" customFormat="false" ht="15" hidden="false" customHeight="false" outlineLevel="0" collapsed="false">
      <c r="A287" s="18" t="s">
        <v>444</v>
      </c>
      <c r="B287" s="18" t="s">
        <v>109</v>
      </c>
      <c r="C287" s="17" t="s">
        <v>445</v>
      </c>
      <c r="D287" s="19" t="n">
        <v>2000</v>
      </c>
      <c r="E287" s="19" t="n">
        <v>2000</v>
      </c>
      <c r="F287" s="20" t="s">
        <v>47</v>
      </c>
      <c r="G287" s="20" t="n">
        <v>0</v>
      </c>
      <c r="H287" s="17"/>
    </row>
    <row r="288" customFormat="false" ht="15" hidden="false" customHeight="false" outlineLevel="0" collapsed="false">
      <c r="A288" s="14" t="s">
        <v>446</v>
      </c>
      <c r="B288" s="14" t="s">
        <v>75</v>
      </c>
      <c r="C288" s="13"/>
      <c r="D288" s="15"/>
      <c r="E288" s="15"/>
      <c r="F288" s="16" t="s">
        <v>39</v>
      </c>
      <c r="G288" s="15" t="n">
        <v>7</v>
      </c>
      <c r="H288" s="13"/>
    </row>
    <row r="289" customFormat="false" ht="15" hidden="false" customHeight="false" outlineLevel="0" collapsed="false">
      <c r="A289" s="14" t="s">
        <v>447</v>
      </c>
      <c r="B289" s="14" t="s">
        <v>241</v>
      </c>
      <c r="C289" s="13"/>
      <c r="D289" s="15"/>
      <c r="E289" s="15"/>
      <c r="F289" s="16" t="s">
        <v>39</v>
      </c>
      <c r="G289" s="15" t="n">
        <v>3</v>
      </c>
      <c r="H289" s="13"/>
    </row>
    <row r="290" customFormat="false" ht="15" hidden="false" customHeight="false" outlineLevel="0" collapsed="false">
      <c r="A290" s="14" t="s">
        <v>448</v>
      </c>
      <c r="B290" s="14" t="s">
        <v>241</v>
      </c>
      <c r="C290" s="13"/>
      <c r="D290" s="15"/>
      <c r="E290" s="15"/>
      <c r="F290" s="16" t="s">
        <v>39</v>
      </c>
      <c r="G290" s="15" t="n">
        <v>0</v>
      </c>
      <c r="H290" s="13"/>
    </row>
    <row r="291" customFormat="false" ht="29.85" hidden="false" customHeight="false" outlineLevel="0" collapsed="false">
      <c r="A291" s="14" t="s">
        <v>449</v>
      </c>
      <c r="B291" s="14" t="s">
        <v>38</v>
      </c>
      <c r="C291" s="13"/>
      <c r="D291" s="15"/>
      <c r="E291" s="15"/>
      <c r="F291" s="16" t="s">
        <v>39</v>
      </c>
      <c r="G291" s="15" t="n">
        <v>15</v>
      </c>
      <c r="H291" s="13"/>
    </row>
    <row r="292" customFormat="false" ht="29.85" hidden="false" customHeight="false" outlineLevel="0" collapsed="false">
      <c r="A292" s="14" t="s">
        <v>450</v>
      </c>
      <c r="B292" s="14" t="s">
        <v>38</v>
      </c>
      <c r="C292" s="13"/>
      <c r="D292" s="15"/>
      <c r="E292" s="15"/>
      <c r="F292" s="16" t="s">
        <v>39</v>
      </c>
      <c r="G292" s="15" t="n">
        <v>1</v>
      </c>
      <c r="H292" s="13"/>
    </row>
    <row r="293" customFormat="false" ht="15" hidden="false" customHeight="false" outlineLevel="0" collapsed="false">
      <c r="A293" s="10" t="s">
        <v>451</v>
      </c>
      <c r="B293" s="10" t="s">
        <v>82</v>
      </c>
      <c r="C293" s="10" t="s">
        <v>57</v>
      </c>
      <c r="D293" s="11"/>
      <c r="E293" s="11"/>
      <c r="F293" s="12" t="s">
        <v>35</v>
      </c>
      <c r="G293" s="11" t="n">
        <v>7</v>
      </c>
      <c r="H293" s="9"/>
    </row>
    <row r="294" customFormat="false" ht="15" hidden="false" customHeight="false" outlineLevel="0" collapsed="false">
      <c r="A294" s="10" t="s">
        <v>452</v>
      </c>
      <c r="B294" s="10" t="s">
        <v>82</v>
      </c>
      <c r="C294" s="10" t="s">
        <v>57</v>
      </c>
      <c r="D294" s="11"/>
      <c r="E294" s="11"/>
      <c r="F294" s="12" t="s">
        <v>35</v>
      </c>
      <c r="G294" s="11" t="n">
        <v>7</v>
      </c>
      <c r="H294" s="9"/>
    </row>
    <row r="295" customFormat="false" ht="15" hidden="false" customHeight="false" outlineLevel="0" collapsed="false">
      <c r="A295" s="18" t="s">
        <v>453</v>
      </c>
      <c r="B295" s="18" t="s">
        <v>147</v>
      </c>
      <c r="C295" s="18" t="s">
        <v>454</v>
      </c>
      <c r="D295" s="19" t="n">
        <v>10000</v>
      </c>
      <c r="E295" s="19" t="n">
        <v>10000</v>
      </c>
      <c r="F295" s="20" t="s">
        <v>47</v>
      </c>
      <c r="G295" s="20" t="n">
        <v>14</v>
      </c>
      <c r="H295" s="17"/>
    </row>
    <row r="296" customFormat="false" ht="15" hidden="false" customHeight="false" outlineLevel="0" collapsed="false">
      <c r="A296" s="10" t="s">
        <v>455</v>
      </c>
      <c r="B296" s="9"/>
      <c r="C296" s="10" t="s">
        <v>57</v>
      </c>
      <c r="D296" s="11"/>
      <c r="E296" s="11"/>
      <c r="F296" s="12" t="s">
        <v>35</v>
      </c>
      <c r="G296" s="11" t="n">
        <v>30</v>
      </c>
      <c r="H296" s="9"/>
    </row>
    <row r="297" customFormat="false" ht="15" hidden="false" customHeight="false" outlineLevel="0" collapsed="false">
      <c r="A297" s="14" t="s">
        <v>456</v>
      </c>
      <c r="B297" s="14" t="s">
        <v>241</v>
      </c>
      <c r="C297" s="13"/>
      <c r="D297" s="15"/>
      <c r="E297" s="15"/>
      <c r="F297" s="16" t="s">
        <v>39</v>
      </c>
      <c r="G297" s="15" t="n">
        <v>0</v>
      </c>
      <c r="H297" s="13"/>
    </row>
    <row r="298" customFormat="false" ht="15" hidden="false" customHeight="false" outlineLevel="0" collapsed="false">
      <c r="A298" s="14" t="s">
        <v>457</v>
      </c>
      <c r="B298" s="14" t="s">
        <v>60</v>
      </c>
      <c r="C298" s="13"/>
      <c r="D298" s="15"/>
      <c r="E298" s="15"/>
      <c r="F298" s="16" t="s">
        <v>39</v>
      </c>
      <c r="G298" s="15" t="n">
        <v>7</v>
      </c>
      <c r="H298" s="13"/>
    </row>
    <row r="299" customFormat="false" ht="15" hidden="false" customHeight="false" outlineLevel="0" collapsed="false">
      <c r="A299" s="14" t="s">
        <v>458</v>
      </c>
      <c r="B299" s="14" t="s">
        <v>60</v>
      </c>
      <c r="C299" s="13"/>
      <c r="D299" s="15"/>
      <c r="E299" s="15"/>
      <c r="F299" s="16" t="s">
        <v>39</v>
      </c>
      <c r="G299" s="15" t="n">
        <v>10</v>
      </c>
      <c r="H299" s="13"/>
    </row>
    <row r="300" customFormat="false" ht="29.85" hidden="false" customHeight="false" outlineLevel="0" collapsed="false">
      <c r="A300" s="14" t="s">
        <v>459</v>
      </c>
      <c r="B300" s="14" t="s">
        <v>219</v>
      </c>
      <c r="C300" s="13"/>
      <c r="D300" s="15"/>
      <c r="E300" s="15"/>
      <c r="F300" s="16" t="s">
        <v>39</v>
      </c>
      <c r="G300" s="15" t="n">
        <v>0</v>
      </c>
      <c r="H300" s="13"/>
    </row>
    <row r="301" customFormat="false" ht="15" hidden="false" customHeight="false" outlineLevel="0" collapsed="false">
      <c r="A301" s="14" t="s">
        <v>460</v>
      </c>
      <c r="B301" s="14" t="s">
        <v>119</v>
      </c>
      <c r="C301" s="13"/>
      <c r="D301" s="15"/>
      <c r="E301" s="15"/>
      <c r="F301" s="16" t="s">
        <v>39</v>
      </c>
      <c r="G301" s="15" t="n">
        <v>0</v>
      </c>
      <c r="H301" s="13"/>
    </row>
    <row r="302" customFormat="false" ht="15" hidden="false" customHeight="false" outlineLevel="0" collapsed="false">
      <c r="A302" s="14" t="s">
        <v>461</v>
      </c>
      <c r="B302" s="14" t="s">
        <v>409</v>
      </c>
      <c r="C302" s="13"/>
      <c r="D302" s="15"/>
      <c r="E302" s="15"/>
      <c r="F302" s="16" t="s">
        <v>39</v>
      </c>
      <c r="G302" s="15" t="n">
        <v>30</v>
      </c>
      <c r="H302" s="13"/>
    </row>
    <row r="303" customFormat="false" ht="15" hidden="false" customHeight="false" outlineLevel="0" collapsed="false">
      <c r="A303" s="14" t="s">
        <v>462</v>
      </c>
      <c r="B303" s="14" t="s">
        <v>409</v>
      </c>
      <c r="C303" s="13"/>
      <c r="D303" s="15"/>
      <c r="E303" s="15"/>
      <c r="F303" s="16" t="s">
        <v>39</v>
      </c>
      <c r="G303" s="15" t="n">
        <v>0</v>
      </c>
      <c r="H303" s="13"/>
    </row>
    <row r="304" customFormat="false" ht="15" hidden="false" customHeight="false" outlineLevel="0" collapsed="false">
      <c r="A304" s="14" t="s">
        <v>463</v>
      </c>
      <c r="B304" s="14" t="s">
        <v>409</v>
      </c>
      <c r="C304" s="13"/>
      <c r="D304" s="15"/>
      <c r="E304" s="15"/>
      <c r="F304" s="16" t="s">
        <v>39</v>
      </c>
      <c r="G304" s="15" t="n">
        <v>20</v>
      </c>
      <c r="H304" s="13"/>
    </row>
    <row r="305" customFormat="false" ht="15" hidden="false" customHeight="false" outlineLevel="0" collapsed="false">
      <c r="A305" s="14" t="s">
        <v>464</v>
      </c>
      <c r="B305" s="14" t="s">
        <v>119</v>
      </c>
      <c r="C305" s="13"/>
      <c r="D305" s="15"/>
      <c r="E305" s="15"/>
      <c r="F305" s="16" t="s">
        <v>39</v>
      </c>
      <c r="G305" s="15" t="n">
        <v>10</v>
      </c>
      <c r="H305" s="13"/>
    </row>
    <row r="306" customFormat="false" ht="15" hidden="false" customHeight="false" outlineLevel="0" collapsed="false">
      <c r="A306" s="10" t="s">
        <v>465</v>
      </c>
      <c r="B306" s="10" t="s">
        <v>119</v>
      </c>
      <c r="C306" s="10" t="s">
        <v>34</v>
      </c>
      <c r="D306" s="11"/>
      <c r="E306" s="11"/>
      <c r="F306" s="12" t="s">
        <v>35</v>
      </c>
      <c r="G306" s="11" t="n">
        <v>0</v>
      </c>
      <c r="H306" s="9"/>
    </row>
    <row r="307" customFormat="false" ht="29.85" hidden="false" customHeight="false" outlineLevel="0" collapsed="false">
      <c r="A307" s="10" t="s">
        <v>466</v>
      </c>
      <c r="B307" s="10" t="s">
        <v>219</v>
      </c>
      <c r="C307" s="10" t="s">
        <v>34</v>
      </c>
      <c r="D307" s="11"/>
      <c r="E307" s="11"/>
      <c r="F307" s="12" t="s">
        <v>35</v>
      </c>
      <c r="G307" s="11" t="n">
        <v>0</v>
      </c>
      <c r="H307" s="9"/>
    </row>
    <row r="308" customFormat="false" ht="15" hidden="false" customHeight="false" outlineLevel="0" collapsed="false">
      <c r="A308" s="14" t="s">
        <v>467</v>
      </c>
      <c r="B308" s="14" t="s">
        <v>468</v>
      </c>
      <c r="C308" s="13"/>
      <c r="D308" s="15"/>
      <c r="E308" s="15"/>
      <c r="F308" s="16" t="s">
        <v>39</v>
      </c>
      <c r="G308" s="15" t="n">
        <v>0</v>
      </c>
      <c r="H308" s="13"/>
    </row>
    <row r="309" customFormat="false" ht="15" hidden="false" customHeight="false" outlineLevel="0" collapsed="false">
      <c r="A309" s="14" t="s">
        <v>469</v>
      </c>
      <c r="B309" s="14" t="s">
        <v>468</v>
      </c>
      <c r="C309" s="13"/>
      <c r="D309" s="15"/>
      <c r="E309" s="15"/>
      <c r="F309" s="16" t="s">
        <v>39</v>
      </c>
      <c r="G309" s="15" t="n">
        <v>0</v>
      </c>
      <c r="H309" s="13"/>
    </row>
    <row r="310" customFormat="false" ht="15" hidden="false" customHeight="false" outlineLevel="0" collapsed="false">
      <c r="A310" s="14" t="s">
        <v>470</v>
      </c>
      <c r="B310" s="14" t="s">
        <v>468</v>
      </c>
      <c r="C310" s="13"/>
      <c r="D310" s="15"/>
      <c r="E310" s="15"/>
      <c r="F310" s="16" t="s">
        <v>39</v>
      </c>
      <c r="G310" s="15" t="n">
        <v>0</v>
      </c>
      <c r="H310" s="13"/>
    </row>
    <row r="311" customFormat="false" ht="15" hidden="false" customHeight="false" outlineLevel="0" collapsed="false">
      <c r="A311" s="14" t="s">
        <v>471</v>
      </c>
      <c r="B311" s="14" t="s">
        <v>468</v>
      </c>
      <c r="C311" s="13"/>
      <c r="D311" s="15"/>
      <c r="E311" s="15"/>
      <c r="F311" s="16" t="s">
        <v>39</v>
      </c>
      <c r="G311" s="15" t="n">
        <v>0</v>
      </c>
      <c r="H311" s="13"/>
    </row>
    <row r="312" customFormat="false" ht="15" hidden="false" customHeight="false" outlineLevel="0" collapsed="false">
      <c r="A312" s="10" t="s">
        <v>472</v>
      </c>
      <c r="B312" s="9"/>
      <c r="C312" s="10" t="s">
        <v>57</v>
      </c>
      <c r="D312" s="11"/>
      <c r="E312" s="11"/>
      <c r="F312" s="12" t="s">
        <v>35</v>
      </c>
      <c r="G312" s="11" t="n">
        <v>30</v>
      </c>
      <c r="H312" s="9"/>
    </row>
    <row r="313" customFormat="false" ht="15" hidden="false" customHeight="false" outlineLevel="0" collapsed="false">
      <c r="A313" s="14" t="s">
        <v>473</v>
      </c>
      <c r="B313" s="14" t="s">
        <v>310</v>
      </c>
      <c r="C313" s="13"/>
      <c r="D313" s="15"/>
      <c r="E313" s="15"/>
      <c r="F313" s="16" t="s">
        <v>39</v>
      </c>
      <c r="G313" s="15" t="n">
        <v>5</v>
      </c>
      <c r="H313" s="13"/>
    </row>
    <row r="314" customFormat="false" ht="15" hidden="false" customHeight="false" outlineLevel="0" collapsed="false">
      <c r="A314" s="10" t="s">
        <v>474</v>
      </c>
      <c r="B314" s="10" t="s">
        <v>82</v>
      </c>
      <c r="C314" s="10" t="s">
        <v>57</v>
      </c>
      <c r="D314" s="11"/>
      <c r="E314" s="11"/>
      <c r="F314" s="12" t="s">
        <v>35</v>
      </c>
      <c r="G314" s="11" t="n">
        <v>10</v>
      </c>
      <c r="H314" s="9"/>
    </row>
    <row r="315" customFormat="false" ht="15" hidden="false" customHeight="false" outlineLevel="0" collapsed="false">
      <c r="A315" s="10" t="s">
        <v>475</v>
      </c>
      <c r="B315" s="10" t="s">
        <v>82</v>
      </c>
      <c r="C315" s="10" t="s">
        <v>57</v>
      </c>
      <c r="D315" s="11"/>
      <c r="E315" s="11"/>
      <c r="F315" s="12" t="s">
        <v>35</v>
      </c>
      <c r="G315" s="11" t="n">
        <v>5</v>
      </c>
      <c r="H315" s="9"/>
    </row>
    <row r="316" customFormat="false" ht="15" hidden="false" customHeight="false" outlineLevel="0" collapsed="false">
      <c r="A316" s="14" t="s">
        <v>476</v>
      </c>
      <c r="B316" s="14" t="s">
        <v>82</v>
      </c>
      <c r="C316" s="13"/>
      <c r="D316" s="15"/>
      <c r="E316" s="15"/>
      <c r="F316" s="16" t="s">
        <v>39</v>
      </c>
      <c r="G316" s="15" t="n">
        <v>10</v>
      </c>
      <c r="H316" s="13"/>
    </row>
    <row r="317" customFormat="false" ht="15" hidden="false" customHeight="false" outlineLevel="0" collapsed="false">
      <c r="A317" s="14" t="s">
        <v>477</v>
      </c>
      <c r="B317" s="14" t="s">
        <v>82</v>
      </c>
      <c r="C317" s="14" t="s">
        <v>371</v>
      </c>
      <c r="D317" s="15"/>
      <c r="E317" s="15"/>
      <c r="F317" s="16" t="s">
        <v>39</v>
      </c>
      <c r="G317" s="15" t="n">
        <v>0</v>
      </c>
      <c r="H317" s="13"/>
    </row>
    <row r="318" customFormat="false" ht="15" hidden="false" customHeight="false" outlineLevel="0" collapsed="false">
      <c r="A318" s="14" t="s">
        <v>478</v>
      </c>
      <c r="B318" s="14" t="s">
        <v>82</v>
      </c>
      <c r="C318" s="13"/>
      <c r="D318" s="15"/>
      <c r="E318" s="15"/>
      <c r="F318" s="16" t="s">
        <v>39</v>
      </c>
      <c r="G318" s="15" t="n">
        <v>7</v>
      </c>
      <c r="H318" s="13"/>
    </row>
    <row r="319" customFormat="false" ht="15" hidden="false" customHeight="false" outlineLevel="0" collapsed="false">
      <c r="A319" s="14" t="s">
        <v>479</v>
      </c>
      <c r="B319" s="14" t="s">
        <v>138</v>
      </c>
      <c r="C319" s="13"/>
      <c r="D319" s="15"/>
      <c r="E319" s="15"/>
      <c r="F319" s="16" t="s">
        <v>39</v>
      </c>
      <c r="G319" s="15" t="n">
        <v>0</v>
      </c>
      <c r="H319" s="13"/>
    </row>
    <row r="320" customFormat="false" ht="15" hidden="false" customHeight="false" outlineLevel="0" collapsed="false">
      <c r="A320" s="14" t="s">
        <v>480</v>
      </c>
      <c r="B320" s="14" t="s">
        <v>224</v>
      </c>
      <c r="C320" s="13"/>
      <c r="D320" s="15"/>
      <c r="E320" s="15"/>
      <c r="F320" s="16" t="s">
        <v>39</v>
      </c>
      <c r="G320" s="15" t="n">
        <v>0</v>
      </c>
      <c r="H320" s="13"/>
    </row>
    <row r="321" customFormat="false" ht="15" hidden="false" customHeight="false" outlineLevel="0" collapsed="false">
      <c r="A321" s="14" t="s">
        <v>481</v>
      </c>
      <c r="B321" s="14" t="s">
        <v>482</v>
      </c>
      <c r="C321" s="13"/>
      <c r="D321" s="15"/>
      <c r="E321" s="15"/>
      <c r="F321" s="16" t="s">
        <v>39</v>
      </c>
      <c r="G321" s="15" t="n">
        <v>0</v>
      </c>
      <c r="H321" s="13"/>
    </row>
    <row r="322" customFormat="false" ht="15" hidden="false" customHeight="false" outlineLevel="0" collapsed="false">
      <c r="A322" s="10" t="s">
        <v>483</v>
      </c>
      <c r="B322" s="10" t="s">
        <v>119</v>
      </c>
      <c r="C322" s="10" t="s">
        <v>325</v>
      </c>
      <c r="D322" s="11"/>
      <c r="E322" s="11"/>
      <c r="F322" s="12" t="s">
        <v>35</v>
      </c>
      <c r="G322" s="11" t="n">
        <v>0</v>
      </c>
      <c r="H322" s="9"/>
    </row>
    <row r="323" customFormat="false" ht="15" hidden="false" customHeight="false" outlineLevel="0" collapsed="false">
      <c r="A323" s="14" t="s">
        <v>484</v>
      </c>
      <c r="B323" s="14" t="s">
        <v>485</v>
      </c>
      <c r="C323" s="13"/>
      <c r="D323" s="15"/>
      <c r="E323" s="15"/>
      <c r="F323" s="16" t="s">
        <v>39</v>
      </c>
      <c r="G323" s="15" t="n">
        <v>7</v>
      </c>
      <c r="H323" s="13"/>
    </row>
    <row r="324" customFormat="false" ht="15" hidden="false" customHeight="false" outlineLevel="0" collapsed="false">
      <c r="A324" s="14" t="s">
        <v>486</v>
      </c>
      <c r="B324" s="14" t="s">
        <v>485</v>
      </c>
      <c r="C324" s="13"/>
      <c r="D324" s="15"/>
      <c r="E324" s="15"/>
      <c r="F324" s="16" t="s">
        <v>39</v>
      </c>
      <c r="G324" s="15" t="n">
        <v>14</v>
      </c>
      <c r="H324" s="13"/>
    </row>
    <row r="325" customFormat="false" ht="15" hidden="false" customHeight="false" outlineLevel="0" collapsed="false">
      <c r="A325" s="14" t="s">
        <v>487</v>
      </c>
      <c r="B325" s="14" t="s">
        <v>485</v>
      </c>
      <c r="C325" s="13"/>
      <c r="D325" s="15"/>
      <c r="E325" s="15"/>
      <c r="F325" s="16" t="s">
        <v>39</v>
      </c>
      <c r="G325" s="15" t="n">
        <v>7</v>
      </c>
      <c r="H325" s="13"/>
    </row>
    <row r="326" customFormat="false" ht="29.85" hidden="false" customHeight="false" outlineLevel="0" collapsed="false">
      <c r="A326" s="10" t="s">
        <v>488</v>
      </c>
      <c r="B326" s="10" t="s">
        <v>346</v>
      </c>
      <c r="C326" s="10" t="s">
        <v>57</v>
      </c>
      <c r="D326" s="11"/>
      <c r="E326" s="11"/>
      <c r="F326" s="12" t="s">
        <v>35</v>
      </c>
      <c r="G326" s="11" t="n">
        <v>1</v>
      </c>
      <c r="H326" s="9"/>
    </row>
    <row r="327" customFormat="false" ht="15" hidden="false" customHeight="false" outlineLevel="0" collapsed="false">
      <c r="A327" s="14" t="s">
        <v>489</v>
      </c>
      <c r="B327" s="14" t="s">
        <v>396</v>
      </c>
      <c r="C327" s="13"/>
      <c r="D327" s="15"/>
      <c r="E327" s="15"/>
      <c r="F327" s="16" t="s">
        <v>39</v>
      </c>
      <c r="G327" s="15" t="n">
        <v>3</v>
      </c>
      <c r="H327" s="13"/>
    </row>
    <row r="328" customFormat="false" ht="15" hidden="false" customHeight="false" outlineLevel="0" collapsed="false">
      <c r="A328" s="14" t="s">
        <v>490</v>
      </c>
      <c r="B328" s="14" t="s">
        <v>241</v>
      </c>
      <c r="C328" s="13"/>
      <c r="D328" s="15"/>
      <c r="E328" s="15"/>
      <c r="F328" s="16" t="s">
        <v>39</v>
      </c>
      <c r="G328" s="15" t="n">
        <v>0</v>
      </c>
      <c r="H328" s="13"/>
    </row>
    <row r="329" customFormat="false" ht="58.2" hidden="false" customHeight="false" outlineLevel="0" collapsed="false">
      <c r="A329" s="18" t="s">
        <v>491</v>
      </c>
      <c r="B329" s="18" t="s">
        <v>103</v>
      </c>
      <c r="C329" s="18" t="s">
        <v>492</v>
      </c>
      <c r="D329" s="19" t="n">
        <v>2000</v>
      </c>
      <c r="E329" s="19" t="n">
        <v>20000</v>
      </c>
      <c r="F329" s="20" t="s">
        <v>47</v>
      </c>
      <c r="G329" s="20" t="n">
        <v>7</v>
      </c>
      <c r="H329" s="17"/>
    </row>
    <row r="330" customFormat="false" ht="29.85" hidden="false" customHeight="false" outlineLevel="0" collapsed="false">
      <c r="A330" s="10" t="s">
        <v>493</v>
      </c>
      <c r="B330" s="10" t="s">
        <v>103</v>
      </c>
      <c r="C330" s="10" t="s">
        <v>57</v>
      </c>
      <c r="D330" s="11"/>
      <c r="E330" s="11"/>
      <c r="F330" s="12" t="s">
        <v>35</v>
      </c>
      <c r="G330" s="11" t="n">
        <v>15</v>
      </c>
      <c r="H330" s="9"/>
    </row>
    <row r="331" customFormat="false" ht="29.85" hidden="false" customHeight="false" outlineLevel="0" collapsed="false">
      <c r="A331" s="18" t="s">
        <v>494</v>
      </c>
      <c r="B331" s="18" t="s">
        <v>103</v>
      </c>
      <c r="C331" s="17" t="s">
        <v>161</v>
      </c>
      <c r="D331" s="19" t="n">
        <v>5000</v>
      </c>
      <c r="E331" s="19" t="n">
        <v>5000</v>
      </c>
      <c r="F331" s="20" t="s">
        <v>47</v>
      </c>
      <c r="G331" s="20" t="n">
        <v>15</v>
      </c>
      <c r="H331" s="17"/>
    </row>
    <row r="332" customFormat="false" ht="15" hidden="false" customHeight="false" outlineLevel="0" collapsed="false">
      <c r="A332" s="10" t="s">
        <v>495</v>
      </c>
      <c r="B332" s="10" t="s">
        <v>496</v>
      </c>
      <c r="C332" s="10" t="s">
        <v>325</v>
      </c>
      <c r="D332" s="11"/>
      <c r="E332" s="11"/>
      <c r="F332" s="12" t="s">
        <v>35</v>
      </c>
      <c r="G332" s="11" t="n">
        <v>4</v>
      </c>
      <c r="H332" s="9"/>
    </row>
    <row r="333" customFormat="false" ht="29.85" hidden="false" customHeight="false" outlineLevel="0" collapsed="false">
      <c r="A333" s="18" t="s">
        <v>497</v>
      </c>
      <c r="B333" s="18" t="s">
        <v>219</v>
      </c>
      <c r="C333" s="17" t="s">
        <v>498</v>
      </c>
      <c r="D333" s="19" t="n">
        <v>20000</v>
      </c>
      <c r="E333" s="19" t="n">
        <v>20000</v>
      </c>
      <c r="F333" s="20" t="s">
        <v>47</v>
      </c>
      <c r="G333" s="20" t="n">
        <v>3</v>
      </c>
      <c r="H333" s="17"/>
    </row>
    <row r="334" customFormat="false" ht="29.85" hidden="false" customHeight="false" outlineLevel="0" collapsed="false">
      <c r="A334" s="14" t="s">
        <v>499</v>
      </c>
      <c r="B334" s="14" t="s">
        <v>346</v>
      </c>
      <c r="C334" s="13"/>
      <c r="D334" s="15"/>
      <c r="E334" s="15"/>
      <c r="F334" s="16" t="s">
        <v>39</v>
      </c>
      <c r="G334" s="15" t="n">
        <v>30</v>
      </c>
      <c r="H334" s="13"/>
    </row>
    <row r="335" customFormat="false" ht="29.85" hidden="false" customHeight="false" outlineLevel="0" collapsed="false">
      <c r="A335" s="14" t="s">
        <v>500</v>
      </c>
      <c r="B335" s="14" t="s">
        <v>77</v>
      </c>
      <c r="C335" s="13"/>
      <c r="D335" s="15"/>
      <c r="E335" s="15"/>
      <c r="F335" s="16" t="s">
        <v>39</v>
      </c>
      <c r="G335" s="15" t="n">
        <v>0</v>
      </c>
      <c r="H335" s="13"/>
    </row>
    <row r="336" customFormat="false" ht="15" hidden="false" customHeight="false" outlineLevel="0" collapsed="false">
      <c r="A336" s="14" t="s">
        <v>501</v>
      </c>
      <c r="B336" s="14" t="s">
        <v>80</v>
      </c>
      <c r="C336" s="13"/>
      <c r="D336" s="15"/>
      <c r="E336" s="15"/>
      <c r="F336" s="16" t="s">
        <v>39</v>
      </c>
      <c r="G336" s="15" t="n">
        <v>0</v>
      </c>
      <c r="H336" s="13"/>
    </row>
    <row r="337" customFormat="false" ht="29.85" hidden="false" customHeight="false" outlineLevel="0" collapsed="false">
      <c r="A337" s="18" t="s">
        <v>502</v>
      </c>
      <c r="B337" s="18" t="s">
        <v>77</v>
      </c>
      <c r="C337" s="18" t="s">
        <v>503</v>
      </c>
      <c r="D337" s="19" t="n">
        <v>1000</v>
      </c>
      <c r="E337" s="19" t="n">
        <v>1000</v>
      </c>
      <c r="F337" s="20" t="s">
        <v>47</v>
      </c>
      <c r="G337" s="20" t="n">
        <v>0</v>
      </c>
      <c r="H337" s="17"/>
    </row>
    <row r="338" customFormat="false" ht="29.85" hidden="false" customHeight="false" outlineLevel="0" collapsed="false">
      <c r="A338" s="14" t="s">
        <v>504</v>
      </c>
      <c r="B338" s="14" t="s">
        <v>77</v>
      </c>
      <c r="C338" s="13"/>
      <c r="D338" s="15"/>
      <c r="E338" s="15"/>
      <c r="F338" s="16" t="s">
        <v>39</v>
      </c>
      <c r="G338" s="15" t="n">
        <v>0</v>
      </c>
      <c r="H338" s="13"/>
    </row>
    <row r="339" customFormat="false" ht="29.85" hidden="false" customHeight="false" outlineLevel="0" collapsed="false">
      <c r="A339" s="18" t="s">
        <v>505</v>
      </c>
      <c r="B339" s="18" t="s">
        <v>77</v>
      </c>
      <c r="C339" s="18" t="s">
        <v>506</v>
      </c>
      <c r="D339" s="19" t="n">
        <v>1000</v>
      </c>
      <c r="E339" s="19" t="n">
        <v>1000</v>
      </c>
      <c r="F339" s="20" t="s">
        <v>47</v>
      </c>
      <c r="G339" s="20" t="n">
        <v>0</v>
      </c>
      <c r="H339" s="17"/>
    </row>
    <row r="340" customFormat="false" ht="29.85" hidden="false" customHeight="false" outlineLevel="0" collapsed="false">
      <c r="A340" s="18" t="s">
        <v>507</v>
      </c>
      <c r="B340" s="18" t="s">
        <v>77</v>
      </c>
      <c r="C340" s="17" t="s">
        <v>508</v>
      </c>
      <c r="D340" s="19" t="n">
        <v>20000</v>
      </c>
      <c r="E340" s="19" t="n">
        <v>30000</v>
      </c>
      <c r="F340" s="20" t="s">
        <v>47</v>
      </c>
      <c r="G340" s="20" t="n">
        <v>7</v>
      </c>
      <c r="H340" s="17"/>
    </row>
    <row r="341" customFormat="false" ht="29.85" hidden="false" customHeight="false" outlineLevel="0" collapsed="false">
      <c r="A341" s="14" t="s">
        <v>509</v>
      </c>
      <c r="B341" s="14" t="s">
        <v>77</v>
      </c>
      <c r="C341" s="13"/>
      <c r="D341" s="15"/>
      <c r="E341" s="15"/>
      <c r="F341" s="16" t="s">
        <v>39</v>
      </c>
      <c r="G341" s="15" t="n">
        <v>0</v>
      </c>
      <c r="H341" s="13"/>
    </row>
    <row r="342" customFormat="false" ht="29.85" hidden="false" customHeight="false" outlineLevel="0" collapsed="false">
      <c r="A342" s="18" t="s">
        <v>510</v>
      </c>
      <c r="B342" s="18" t="s">
        <v>77</v>
      </c>
      <c r="C342" s="17" t="s">
        <v>107</v>
      </c>
      <c r="D342" s="19" t="n">
        <v>800</v>
      </c>
      <c r="E342" s="19" t="n">
        <v>800</v>
      </c>
      <c r="F342" s="20" t="s">
        <v>47</v>
      </c>
      <c r="G342" s="20" t="n">
        <v>7</v>
      </c>
      <c r="H342" s="17"/>
    </row>
    <row r="343" customFormat="false" ht="58.2" hidden="false" customHeight="false" outlineLevel="0" collapsed="false">
      <c r="A343" s="18" t="s">
        <v>511</v>
      </c>
      <c r="B343" s="18" t="s">
        <v>132</v>
      </c>
      <c r="C343" s="18" t="s">
        <v>512</v>
      </c>
      <c r="D343" s="19" t="n">
        <v>20000</v>
      </c>
      <c r="E343" s="19" t="n">
        <v>40000</v>
      </c>
      <c r="F343" s="20" t="s">
        <v>47</v>
      </c>
      <c r="G343" s="20" t="n">
        <v>10</v>
      </c>
      <c r="H343" s="17"/>
    </row>
    <row r="344" customFormat="false" ht="15" hidden="false" customHeight="false" outlineLevel="0" collapsed="false">
      <c r="A344" s="10" t="s">
        <v>513</v>
      </c>
      <c r="B344" s="10" t="s">
        <v>82</v>
      </c>
      <c r="C344" s="10" t="s">
        <v>87</v>
      </c>
      <c r="D344" s="21" t="n">
        <v>30000</v>
      </c>
      <c r="E344" s="21" t="n">
        <v>30000</v>
      </c>
      <c r="F344" s="12" t="s">
        <v>35</v>
      </c>
      <c r="G344" s="11" t="n">
        <v>7</v>
      </c>
      <c r="H344" s="9"/>
    </row>
    <row r="345" customFormat="false" ht="15" hidden="false" customHeight="false" outlineLevel="0" collapsed="false">
      <c r="A345" s="10" t="s">
        <v>514</v>
      </c>
      <c r="B345" s="10" t="s">
        <v>515</v>
      </c>
      <c r="C345" s="10" t="s">
        <v>57</v>
      </c>
      <c r="D345" s="11"/>
      <c r="E345" s="11"/>
      <c r="F345" s="12" t="s">
        <v>35</v>
      </c>
      <c r="G345" s="11" t="n">
        <v>5</v>
      </c>
      <c r="H345" s="9"/>
    </row>
    <row r="346" customFormat="false" ht="29.85" hidden="false" customHeight="false" outlineLevel="0" collapsed="false">
      <c r="A346" s="18" t="s">
        <v>516</v>
      </c>
      <c r="B346" s="18" t="s">
        <v>219</v>
      </c>
      <c r="C346" s="18" t="s">
        <v>517</v>
      </c>
      <c r="D346" s="19" t="n">
        <v>5000</v>
      </c>
      <c r="E346" s="19" t="n">
        <v>20000</v>
      </c>
      <c r="F346" s="20" t="s">
        <v>47</v>
      </c>
      <c r="G346" s="20" t="n">
        <v>7</v>
      </c>
      <c r="H346" s="17"/>
    </row>
    <row r="347" customFormat="false" ht="29.85" hidden="false" customHeight="false" outlineLevel="0" collapsed="false">
      <c r="A347" s="18" t="s">
        <v>518</v>
      </c>
      <c r="B347" s="18" t="s">
        <v>219</v>
      </c>
      <c r="C347" s="17" t="s">
        <v>375</v>
      </c>
      <c r="D347" s="19" t="n">
        <v>10000</v>
      </c>
      <c r="E347" s="19" t="n">
        <v>10000</v>
      </c>
      <c r="F347" s="20" t="s">
        <v>47</v>
      </c>
      <c r="G347" s="20" t="n">
        <v>3</v>
      </c>
      <c r="H347" s="17"/>
    </row>
    <row r="348" customFormat="false" ht="29.85" hidden="false" customHeight="false" outlineLevel="0" collapsed="false">
      <c r="A348" s="18" t="s">
        <v>519</v>
      </c>
      <c r="B348" s="18" t="s">
        <v>219</v>
      </c>
      <c r="C348" s="17" t="s">
        <v>520</v>
      </c>
      <c r="D348" s="19" t="n">
        <v>0</v>
      </c>
      <c r="E348" s="19" t="n">
        <v>20000</v>
      </c>
      <c r="F348" s="20" t="s">
        <v>47</v>
      </c>
      <c r="G348" s="20" t="n">
        <v>5</v>
      </c>
      <c r="H348" s="17"/>
    </row>
    <row r="349" customFormat="false" ht="29.85" hidden="false" customHeight="false" outlineLevel="0" collapsed="false">
      <c r="A349" s="18" t="s">
        <v>521</v>
      </c>
      <c r="B349" s="18" t="s">
        <v>219</v>
      </c>
      <c r="C349" s="17" t="s">
        <v>522</v>
      </c>
      <c r="D349" s="19" t="n">
        <v>5000</v>
      </c>
      <c r="E349" s="19" t="n">
        <v>5000</v>
      </c>
      <c r="F349" s="20" t="s">
        <v>47</v>
      </c>
      <c r="G349" s="20" t="n">
        <v>1</v>
      </c>
      <c r="H349" s="17"/>
    </row>
    <row r="350" customFormat="false" ht="29.85" hidden="false" customHeight="false" outlineLevel="0" collapsed="false">
      <c r="A350" s="10" t="s">
        <v>523</v>
      </c>
      <c r="B350" s="10" t="s">
        <v>219</v>
      </c>
      <c r="C350" s="10" t="s">
        <v>57</v>
      </c>
      <c r="D350" s="11"/>
      <c r="E350" s="11"/>
      <c r="F350" s="12" t="s">
        <v>35</v>
      </c>
      <c r="G350" s="11" t="n">
        <v>1</v>
      </c>
      <c r="H350" s="9"/>
    </row>
    <row r="351" customFormat="false" ht="29.85" hidden="false" customHeight="false" outlineLevel="0" collapsed="false">
      <c r="A351" s="14" t="s">
        <v>524</v>
      </c>
      <c r="B351" s="14" t="s">
        <v>41</v>
      </c>
      <c r="C351" s="13"/>
      <c r="D351" s="15"/>
      <c r="E351" s="15"/>
      <c r="F351" s="16" t="s">
        <v>39</v>
      </c>
      <c r="G351" s="15" t="n">
        <v>4</v>
      </c>
      <c r="H351" s="13"/>
    </row>
    <row r="352" customFormat="false" ht="15" hidden="false" customHeight="false" outlineLevel="0" collapsed="false">
      <c r="A352" s="14" t="s">
        <v>525</v>
      </c>
      <c r="B352" s="14" t="s">
        <v>310</v>
      </c>
      <c r="C352" s="13"/>
      <c r="D352" s="15"/>
      <c r="E352" s="15"/>
      <c r="F352" s="16" t="s">
        <v>39</v>
      </c>
      <c r="G352" s="15" t="n">
        <v>5</v>
      </c>
      <c r="H352" s="13"/>
    </row>
    <row r="353" customFormat="false" ht="15" hidden="false" customHeight="false" outlineLevel="0" collapsed="false">
      <c r="A353" s="10" t="s">
        <v>526</v>
      </c>
      <c r="B353" s="10" t="s">
        <v>132</v>
      </c>
      <c r="C353" s="10" t="s">
        <v>57</v>
      </c>
      <c r="D353" s="11"/>
      <c r="E353" s="11"/>
      <c r="F353" s="12" t="s">
        <v>35</v>
      </c>
      <c r="G353" s="11" t="n">
        <v>7</v>
      </c>
      <c r="H353" s="9"/>
    </row>
    <row r="354" customFormat="false" ht="15" hidden="false" customHeight="false" outlineLevel="0" collapsed="false">
      <c r="A354" s="14" t="s">
        <v>527</v>
      </c>
      <c r="B354" s="14" t="s">
        <v>51</v>
      </c>
      <c r="C354" s="13"/>
      <c r="D354" s="15"/>
      <c r="E354" s="15"/>
      <c r="F354" s="16" t="s">
        <v>39</v>
      </c>
      <c r="G354" s="15" t="n">
        <v>0</v>
      </c>
      <c r="H354" s="13"/>
    </row>
    <row r="355" customFormat="false" ht="15" hidden="false" customHeight="false" outlineLevel="0" collapsed="false">
      <c r="A355" s="14" t="s">
        <v>528</v>
      </c>
      <c r="B355" s="14" t="s">
        <v>272</v>
      </c>
      <c r="C355" s="13"/>
      <c r="D355" s="15"/>
      <c r="E355" s="15"/>
      <c r="F355" s="16" t="s">
        <v>39</v>
      </c>
      <c r="G355" s="15" t="n">
        <v>3</v>
      </c>
      <c r="H355" s="13"/>
    </row>
    <row r="356" customFormat="false" ht="15" hidden="false" customHeight="false" outlineLevel="0" collapsed="false">
      <c r="A356" s="14" t="s">
        <v>529</v>
      </c>
      <c r="B356" s="14" t="s">
        <v>109</v>
      </c>
      <c r="C356" s="13"/>
      <c r="D356" s="15"/>
      <c r="E356" s="15"/>
      <c r="F356" s="16" t="s">
        <v>39</v>
      </c>
      <c r="G356" s="15" t="n">
        <v>0</v>
      </c>
      <c r="H356" s="13"/>
    </row>
    <row r="357" customFormat="false" ht="29.85" hidden="false" customHeight="false" outlineLevel="0" collapsed="false">
      <c r="A357" s="14" t="s">
        <v>530</v>
      </c>
      <c r="B357" s="14" t="s">
        <v>77</v>
      </c>
      <c r="C357" s="13"/>
      <c r="D357" s="15"/>
      <c r="E357" s="15"/>
      <c r="F357" s="16" t="s">
        <v>39</v>
      </c>
      <c r="G357" s="15" t="n">
        <v>0</v>
      </c>
      <c r="H357" s="13"/>
    </row>
    <row r="358" customFormat="false" ht="15" hidden="false" customHeight="false" outlineLevel="0" collapsed="false">
      <c r="A358" s="10" t="s">
        <v>531</v>
      </c>
      <c r="B358" s="10" t="s">
        <v>176</v>
      </c>
      <c r="C358" s="10" t="s">
        <v>57</v>
      </c>
      <c r="D358" s="11"/>
      <c r="E358" s="11"/>
      <c r="F358" s="12" t="s">
        <v>35</v>
      </c>
      <c r="G358" s="11" t="n">
        <v>5</v>
      </c>
      <c r="H358" s="9"/>
    </row>
    <row r="359" customFormat="false" ht="29.85" hidden="false" customHeight="false" outlineLevel="0" collapsed="false">
      <c r="A359" s="14" t="s">
        <v>532</v>
      </c>
      <c r="B359" s="14" t="s">
        <v>41</v>
      </c>
      <c r="C359" s="13"/>
      <c r="D359" s="15"/>
      <c r="E359" s="15"/>
      <c r="F359" s="16" t="s">
        <v>39</v>
      </c>
      <c r="G359" s="15" t="n">
        <v>6</v>
      </c>
      <c r="H359" s="13"/>
    </row>
    <row r="360" customFormat="false" ht="15" hidden="false" customHeight="false" outlineLevel="0" collapsed="false">
      <c r="A360" s="14" t="s">
        <v>533</v>
      </c>
      <c r="B360" s="14" t="s">
        <v>60</v>
      </c>
      <c r="C360" s="13"/>
      <c r="D360" s="15"/>
      <c r="E360" s="15"/>
      <c r="F360" s="16" t="s">
        <v>39</v>
      </c>
      <c r="G360" s="15" t="n">
        <v>15</v>
      </c>
      <c r="H360" s="13"/>
    </row>
    <row r="361" customFormat="false" ht="29.85" hidden="false" customHeight="false" outlineLevel="0" collapsed="false">
      <c r="A361" s="18" t="s">
        <v>534</v>
      </c>
      <c r="B361" s="18" t="s">
        <v>67</v>
      </c>
      <c r="C361" s="18" t="s">
        <v>65</v>
      </c>
      <c r="D361" s="20"/>
      <c r="E361" s="20"/>
      <c r="F361" s="20" t="s">
        <v>47</v>
      </c>
      <c r="G361" s="20" t="n">
        <v>5</v>
      </c>
      <c r="H361" s="17"/>
    </row>
    <row r="362" customFormat="false" ht="15" hidden="false" customHeight="false" outlineLevel="0" collapsed="false">
      <c r="A362" s="18" t="s">
        <v>535</v>
      </c>
      <c r="B362" s="18" t="s">
        <v>67</v>
      </c>
      <c r="C362" s="18" t="s">
        <v>65</v>
      </c>
      <c r="D362" s="20"/>
      <c r="E362" s="20"/>
      <c r="F362" s="20" t="s">
        <v>47</v>
      </c>
      <c r="G362" s="20" t="n">
        <v>7</v>
      </c>
      <c r="H362" s="17"/>
    </row>
    <row r="363" customFormat="false" ht="15" hidden="false" customHeight="false" outlineLevel="0" collapsed="false">
      <c r="A363" s="14" t="s">
        <v>536</v>
      </c>
      <c r="B363" s="14" t="s">
        <v>119</v>
      </c>
      <c r="C363" s="13"/>
      <c r="D363" s="15"/>
      <c r="E363" s="15"/>
      <c r="F363" s="16" t="s">
        <v>39</v>
      </c>
      <c r="G363" s="15" t="n">
        <v>30</v>
      </c>
      <c r="H363" s="13"/>
    </row>
    <row r="364" customFormat="false" ht="29.85" hidden="false" customHeight="false" outlineLevel="0" collapsed="false">
      <c r="A364" s="14" t="s">
        <v>537</v>
      </c>
      <c r="B364" s="14" t="s">
        <v>346</v>
      </c>
      <c r="C364" s="13"/>
      <c r="D364" s="15"/>
      <c r="E364" s="15"/>
      <c r="F364" s="16" t="s">
        <v>39</v>
      </c>
      <c r="G364" s="15" t="n">
        <v>30</v>
      </c>
      <c r="H364" s="13"/>
    </row>
    <row r="365" customFormat="false" ht="15" hidden="false" customHeight="false" outlineLevel="0" collapsed="false">
      <c r="A365" s="14" t="s">
        <v>538</v>
      </c>
      <c r="B365" s="14" t="s">
        <v>119</v>
      </c>
      <c r="C365" s="13"/>
      <c r="D365" s="15"/>
      <c r="E365" s="15"/>
      <c r="F365" s="16" t="s">
        <v>39</v>
      </c>
      <c r="G365" s="15" t="n">
        <v>30</v>
      </c>
      <c r="H365" s="13"/>
    </row>
    <row r="366" customFormat="false" ht="29.85" hidden="false" customHeight="false" outlineLevel="0" collapsed="false">
      <c r="A366" s="10" t="s">
        <v>539</v>
      </c>
      <c r="B366" s="10" t="s">
        <v>346</v>
      </c>
      <c r="C366" s="10" t="s">
        <v>57</v>
      </c>
      <c r="D366" s="11"/>
      <c r="E366" s="11"/>
      <c r="F366" s="12" t="s">
        <v>35</v>
      </c>
      <c r="G366" s="11" t="n">
        <v>30</v>
      </c>
      <c r="H366" s="9"/>
    </row>
    <row r="367" customFormat="false" ht="29.85" hidden="false" customHeight="false" outlineLevel="0" collapsed="false">
      <c r="A367" s="10" t="s">
        <v>540</v>
      </c>
      <c r="B367" s="10" t="s">
        <v>346</v>
      </c>
      <c r="C367" s="10" t="s">
        <v>57</v>
      </c>
      <c r="D367" s="11"/>
      <c r="E367" s="11"/>
      <c r="F367" s="12" t="s">
        <v>35</v>
      </c>
      <c r="G367" s="11" t="n">
        <v>30</v>
      </c>
      <c r="H367" s="9"/>
    </row>
    <row r="368" customFormat="false" ht="29.85" hidden="false" customHeight="false" outlineLevel="0" collapsed="false">
      <c r="A368" s="10" t="s">
        <v>541</v>
      </c>
      <c r="B368" s="10" t="s">
        <v>241</v>
      </c>
      <c r="C368" s="10" t="s">
        <v>57</v>
      </c>
      <c r="D368" s="11"/>
      <c r="E368" s="11"/>
      <c r="F368" s="12" t="s">
        <v>35</v>
      </c>
      <c r="G368" s="11" t="n">
        <v>30</v>
      </c>
      <c r="H368" s="9"/>
    </row>
    <row r="369" customFormat="false" ht="29.85" hidden="false" customHeight="false" outlineLevel="0" collapsed="false">
      <c r="A369" s="10" t="s">
        <v>542</v>
      </c>
      <c r="B369" s="10" t="s">
        <v>241</v>
      </c>
      <c r="C369" s="10" t="s">
        <v>57</v>
      </c>
      <c r="D369" s="11"/>
      <c r="E369" s="11"/>
      <c r="F369" s="12" t="s">
        <v>35</v>
      </c>
      <c r="G369" s="11" t="n">
        <v>7</v>
      </c>
      <c r="H369" s="9"/>
    </row>
    <row r="370" customFormat="false" ht="29.85" hidden="false" customHeight="false" outlineLevel="0" collapsed="false">
      <c r="A370" s="10" t="s">
        <v>543</v>
      </c>
      <c r="B370" s="10" t="s">
        <v>75</v>
      </c>
      <c r="C370" s="10" t="s">
        <v>57</v>
      </c>
      <c r="D370" s="11"/>
      <c r="E370" s="11"/>
      <c r="F370" s="12" t="s">
        <v>35</v>
      </c>
      <c r="G370" s="11" t="n">
        <v>7</v>
      </c>
      <c r="H370" s="9"/>
    </row>
    <row r="371" customFormat="false" ht="29.85" hidden="false" customHeight="false" outlineLevel="0" collapsed="false">
      <c r="A371" s="14" t="s">
        <v>544</v>
      </c>
      <c r="B371" s="14" t="s">
        <v>343</v>
      </c>
      <c r="C371" s="13"/>
      <c r="D371" s="15"/>
      <c r="E371" s="15"/>
      <c r="F371" s="16" t="s">
        <v>39</v>
      </c>
      <c r="G371" s="15" t="n">
        <v>30</v>
      </c>
      <c r="H371" s="13"/>
    </row>
    <row r="372" customFormat="false" ht="15" hidden="false" customHeight="false" outlineLevel="0" collapsed="false">
      <c r="A372" s="14" t="s">
        <v>545</v>
      </c>
      <c r="B372" s="14" t="s">
        <v>310</v>
      </c>
      <c r="C372" s="13"/>
      <c r="D372" s="15"/>
      <c r="E372" s="15"/>
      <c r="F372" s="16" t="s">
        <v>39</v>
      </c>
      <c r="G372" s="15" t="n">
        <v>5</v>
      </c>
      <c r="H372" s="13"/>
    </row>
    <row r="373" customFormat="false" ht="15" hidden="false" customHeight="false" outlineLevel="0" collapsed="false">
      <c r="A373" s="14" t="s">
        <v>546</v>
      </c>
      <c r="B373" s="14" t="s">
        <v>310</v>
      </c>
      <c r="C373" s="13"/>
      <c r="D373" s="15"/>
      <c r="E373" s="15"/>
      <c r="F373" s="16" t="s">
        <v>39</v>
      </c>
      <c r="G373" s="15" t="n">
        <v>10</v>
      </c>
      <c r="H373" s="13"/>
    </row>
    <row r="374" customFormat="false" ht="15" hidden="false" customHeight="false" outlineLevel="0" collapsed="false">
      <c r="A374" s="14" t="s">
        <v>547</v>
      </c>
      <c r="B374" s="14" t="s">
        <v>548</v>
      </c>
      <c r="C374" s="13"/>
      <c r="D374" s="15"/>
      <c r="E374" s="15"/>
      <c r="F374" s="16" t="s">
        <v>39</v>
      </c>
      <c r="G374" s="15" t="n">
        <v>30</v>
      </c>
      <c r="H374" s="13"/>
    </row>
    <row r="375" customFormat="false" ht="15" hidden="false" customHeight="false" outlineLevel="0" collapsed="false">
      <c r="A375" s="14" t="s">
        <v>549</v>
      </c>
      <c r="B375" s="14" t="s">
        <v>548</v>
      </c>
      <c r="C375" s="13"/>
      <c r="D375" s="15"/>
      <c r="E375" s="15"/>
      <c r="F375" s="16" t="s">
        <v>39</v>
      </c>
      <c r="G375" s="15" t="n">
        <v>5</v>
      </c>
      <c r="H375" s="13"/>
    </row>
    <row r="376" customFormat="false" ht="15" hidden="false" customHeight="false" outlineLevel="0" collapsed="false">
      <c r="A376" s="10" t="s">
        <v>550</v>
      </c>
      <c r="B376" s="10" t="s">
        <v>241</v>
      </c>
      <c r="C376" s="10" t="s">
        <v>57</v>
      </c>
      <c r="D376" s="11"/>
      <c r="E376" s="11"/>
      <c r="F376" s="12" t="s">
        <v>35</v>
      </c>
      <c r="G376" s="11" t="n">
        <v>3</v>
      </c>
      <c r="H376" s="9"/>
    </row>
    <row r="377" customFormat="false" ht="15" hidden="false" customHeight="false" outlineLevel="0" collapsed="false">
      <c r="A377" s="14" t="s">
        <v>551</v>
      </c>
      <c r="B377" s="14" t="s">
        <v>272</v>
      </c>
      <c r="C377" s="13"/>
      <c r="D377" s="15"/>
      <c r="E377" s="15"/>
      <c r="F377" s="16" t="s">
        <v>39</v>
      </c>
      <c r="G377" s="15" t="n">
        <v>7</v>
      </c>
      <c r="H377" s="13"/>
    </row>
    <row r="378" customFormat="false" ht="15" hidden="false" customHeight="false" outlineLevel="0" collapsed="false">
      <c r="A378" s="14" t="s">
        <v>552</v>
      </c>
      <c r="B378" s="14" t="s">
        <v>272</v>
      </c>
      <c r="C378" s="13"/>
      <c r="D378" s="15"/>
      <c r="E378" s="15"/>
      <c r="F378" s="16" t="s">
        <v>39</v>
      </c>
      <c r="G378" s="15" t="n">
        <v>5</v>
      </c>
      <c r="H378" s="13"/>
    </row>
    <row r="379" customFormat="false" ht="15" hidden="false" customHeight="false" outlineLevel="0" collapsed="false">
      <c r="A379" s="14" t="s">
        <v>553</v>
      </c>
      <c r="B379" s="14" t="s">
        <v>272</v>
      </c>
      <c r="C379" s="13"/>
      <c r="D379" s="15"/>
      <c r="E379" s="15"/>
      <c r="F379" s="16" t="s">
        <v>39</v>
      </c>
      <c r="G379" s="15" t="n">
        <v>30</v>
      </c>
      <c r="H379" s="13"/>
    </row>
    <row r="380" customFormat="false" ht="15" hidden="false" customHeight="false" outlineLevel="0" collapsed="false">
      <c r="A380" s="14" t="s">
        <v>554</v>
      </c>
      <c r="B380" s="14" t="s">
        <v>272</v>
      </c>
      <c r="C380" s="13"/>
      <c r="D380" s="15"/>
      <c r="E380" s="15"/>
      <c r="F380" s="16" t="s">
        <v>39</v>
      </c>
      <c r="G380" s="15" t="n">
        <v>7</v>
      </c>
      <c r="H380" s="13"/>
    </row>
    <row r="381" customFormat="false" ht="15" hidden="false" customHeight="false" outlineLevel="0" collapsed="false">
      <c r="A381" s="14" t="s">
        <v>555</v>
      </c>
      <c r="B381" s="14" t="s">
        <v>396</v>
      </c>
      <c r="C381" s="13"/>
      <c r="D381" s="15"/>
      <c r="E381" s="15"/>
      <c r="F381" s="16" t="s">
        <v>39</v>
      </c>
      <c r="G381" s="15" t="n">
        <v>1</v>
      </c>
      <c r="H381" s="13"/>
    </row>
    <row r="382" customFormat="false" ht="29.85" hidden="false" customHeight="false" outlineLevel="0" collapsed="false">
      <c r="A382" s="10" t="s">
        <v>556</v>
      </c>
      <c r="B382" s="10" t="s">
        <v>103</v>
      </c>
      <c r="C382" s="10" t="s">
        <v>57</v>
      </c>
      <c r="D382" s="11"/>
      <c r="E382" s="11"/>
      <c r="F382" s="12" t="s">
        <v>35</v>
      </c>
      <c r="G382" s="11" t="n">
        <v>5</v>
      </c>
      <c r="H382" s="9"/>
    </row>
    <row r="383" customFormat="false" ht="29.85" hidden="false" customHeight="false" outlineLevel="0" collapsed="false">
      <c r="A383" s="18" t="s">
        <v>557</v>
      </c>
      <c r="B383" s="18" t="s">
        <v>103</v>
      </c>
      <c r="C383" s="17" t="s">
        <v>558</v>
      </c>
      <c r="D383" s="19" t="n">
        <v>5000</v>
      </c>
      <c r="E383" s="19" t="n">
        <v>5000</v>
      </c>
      <c r="F383" s="20" t="s">
        <v>47</v>
      </c>
      <c r="G383" s="20" t="n">
        <v>10</v>
      </c>
      <c r="H383" s="17"/>
    </row>
    <row r="384" customFormat="false" ht="15" hidden="false" customHeight="false" outlineLevel="0" collapsed="false">
      <c r="A384" s="10" t="s">
        <v>559</v>
      </c>
      <c r="B384" s="10" t="s">
        <v>103</v>
      </c>
      <c r="C384" s="10" t="s">
        <v>57</v>
      </c>
      <c r="D384" s="11"/>
      <c r="E384" s="11"/>
      <c r="F384" s="12" t="s">
        <v>35</v>
      </c>
      <c r="G384" s="11" t="n">
        <v>25</v>
      </c>
      <c r="H384" s="9"/>
    </row>
    <row r="385" customFormat="false" ht="15" hidden="false" customHeight="false" outlineLevel="0" collapsed="false">
      <c r="A385" s="10" t="s">
        <v>560</v>
      </c>
      <c r="B385" s="10" t="s">
        <v>241</v>
      </c>
      <c r="C385" s="10" t="s">
        <v>57</v>
      </c>
      <c r="D385" s="11"/>
      <c r="E385" s="11"/>
      <c r="F385" s="12" t="s">
        <v>35</v>
      </c>
      <c r="G385" s="11" t="n">
        <v>0</v>
      </c>
      <c r="H385" s="9"/>
    </row>
    <row r="386" customFormat="false" ht="15" hidden="false" customHeight="false" outlineLevel="0" collapsed="false">
      <c r="A386" s="10" t="s">
        <v>561</v>
      </c>
      <c r="B386" s="10" t="s">
        <v>241</v>
      </c>
      <c r="C386" s="10" t="s">
        <v>57</v>
      </c>
      <c r="D386" s="11"/>
      <c r="E386" s="11"/>
      <c r="F386" s="12" t="s">
        <v>35</v>
      </c>
      <c r="G386" s="11" t="n">
        <v>5</v>
      </c>
      <c r="H386" s="9"/>
    </row>
    <row r="387" customFormat="false" ht="15" hidden="false" customHeight="false" outlineLevel="0" collapsed="false">
      <c r="A387" s="14" t="s">
        <v>562</v>
      </c>
      <c r="B387" s="14" t="s">
        <v>98</v>
      </c>
      <c r="C387" s="13"/>
      <c r="D387" s="15"/>
      <c r="E387" s="15"/>
      <c r="F387" s="16" t="s">
        <v>39</v>
      </c>
      <c r="G387" s="15" t="n">
        <v>14</v>
      </c>
      <c r="H387" s="13"/>
    </row>
    <row r="388" customFormat="false" ht="15" hidden="false" customHeight="false" outlineLevel="0" collapsed="false">
      <c r="A388" s="14" t="s">
        <v>563</v>
      </c>
      <c r="B388" s="14" t="s">
        <v>564</v>
      </c>
      <c r="C388" s="13"/>
      <c r="D388" s="15"/>
      <c r="E388" s="15"/>
      <c r="F388" s="16" t="s">
        <v>39</v>
      </c>
      <c r="G388" s="15" t="n">
        <v>60</v>
      </c>
      <c r="H388" s="13"/>
    </row>
    <row r="389" customFormat="false" ht="15" hidden="false" customHeight="false" outlineLevel="0" collapsed="false">
      <c r="A389" s="14" t="s">
        <v>565</v>
      </c>
      <c r="B389" s="14" t="s">
        <v>566</v>
      </c>
      <c r="C389" s="13"/>
      <c r="D389" s="15"/>
      <c r="E389" s="15"/>
      <c r="F389" s="16" t="s">
        <v>39</v>
      </c>
      <c r="G389" s="15" t="n">
        <v>60</v>
      </c>
      <c r="H389" s="13"/>
    </row>
    <row r="390" customFormat="false" ht="15" hidden="false" customHeight="false" outlineLevel="0" collapsed="false">
      <c r="A390" s="14" t="s">
        <v>567</v>
      </c>
      <c r="B390" s="14" t="s">
        <v>51</v>
      </c>
      <c r="C390" s="13"/>
      <c r="D390" s="15"/>
      <c r="E390" s="15"/>
      <c r="F390" s="16" t="s">
        <v>39</v>
      </c>
      <c r="G390" s="15" t="n">
        <v>0</v>
      </c>
      <c r="H390" s="13"/>
    </row>
    <row r="391" customFormat="false" ht="15" hidden="false" customHeight="false" outlineLevel="0" collapsed="false">
      <c r="A391" s="10" t="s">
        <v>568</v>
      </c>
      <c r="B391" s="10" t="s">
        <v>51</v>
      </c>
      <c r="C391" s="10" t="s">
        <v>57</v>
      </c>
      <c r="D391" s="11"/>
      <c r="E391" s="11"/>
      <c r="F391" s="12" t="s">
        <v>35</v>
      </c>
      <c r="G391" s="11" t="n">
        <v>7</v>
      </c>
      <c r="H391" s="9"/>
    </row>
    <row r="392" customFormat="false" ht="15" hidden="false" customHeight="false" outlineLevel="0" collapsed="false">
      <c r="A392" s="10" t="s">
        <v>569</v>
      </c>
      <c r="B392" s="10" t="s">
        <v>51</v>
      </c>
      <c r="C392" s="10" t="s">
        <v>57</v>
      </c>
      <c r="D392" s="11"/>
      <c r="E392" s="11"/>
      <c r="F392" s="12" t="s">
        <v>35</v>
      </c>
      <c r="G392" s="11" t="n">
        <v>0</v>
      </c>
      <c r="H392" s="9"/>
    </row>
    <row r="393" customFormat="false" ht="29.85" hidden="false" customHeight="false" outlineLevel="0" collapsed="false">
      <c r="A393" s="14" t="s">
        <v>570</v>
      </c>
      <c r="B393" s="14" t="s">
        <v>38</v>
      </c>
      <c r="C393" s="13"/>
      <c r="D393" s="15"/>
      <c r="E393" s="15"/>
      <c r="F393" s="16" t="s">
        <v>39</v>
      </c>
      <c r="G393" s="15" t="n">
        <v>0</v>
      </c>
      <c r="H393" s="13"/>
    </row>
    <row r="394" customFormat="false" ht="29.85" hidden="false" customHeight="false" outlineLevel="0" collapsed="false">
      <c r="A394" s="14" t="s">
        <v>571</v>
      </c>
      <c r="B394" s="14" t="s">
        <v>38</v>
      </c>
      <c r="C394" s="13"/>
      <c r="D394" s="15"/>
      <c r="E394" s="15"/>
      <c r="F394" s="16" t="s">
        <v>39</v>
      </c>
      <c r="G394" s="15" t="n">
        <v>4</v>
      </c>
      <c r="H394" s="13"/>
    </row>
    <row r="395" customFormat="false" ht="15" hidden="false" customHeight="false" outlineLevel="0" collapsed="false">
      <c r="A395" s="18" t="s">
        <v>572</v>
      </c>
      <c r="B395" s="18" t="s">
        <v>302</v>
      </c>
      <c r="C395" s="17" t="s">
        <v>573</v>
      </c>
      <c r="D395" s="19" t="n">
        <v>10000</v>
      </c>
      <c r="E395" s="19" t="n">
        <v>10000</v>
      </c>
      <c r="F395" s="20" t="s">
        <v>47</v>
      </c>
      <c r="G395" s="20" t="n">
        <v>7</v>
      </c>
      <c r="H395" s="17"/>
    </row>
    <row r="396" customFormat="false" ht="15" hidden="false" customHeight="false" outlineLevel="0" collapsed="false">
      <c r="A396" s="18" t="s">
        <v>574</v>
      </c>
      <c r="B396" s="18" t="s">
        <v>305</v>
      </c>
      <c r="C396" s="17" t="s">
        <v>573</v>
      </c>
      <c r="D396" s="19" t="n">
        <v>10000</v>
      </c>
      <c r="E396" s="19" t="n">
        <v>10000</v>
      </c>
      <c r="F396" s="20" t="s">
        <v>47</v>
      </c>
      <c r="G396" s="20" t="n">
        <v>7</v>
      </c>
      <c r="H396" s="17"/>
    </row>
    <row r="397" customFormat="false" ht="29.85" hidden="false" customHeight="false" outlineLevel="0" collapsed="false">
      <c r="A397" s="18" t="s">
        <v>575</v>
      </c>
      <c r="B397" s="18" t="s">
        <v>38</v>
      </c>
      <c r="C397" s="17" t="s">
        <v>576</v>
      </c>
      <c r="D397" s="19" t="n">
        <v>20000</v>
      </c>
      <c r="E397" s="19" t="n">
        <v>20000</v>
      </c>
      <c r="F397" s="20" t="s">
        <v>47</v>
      </c>
      <c r="G397" s="20" t="n">
        <v>7</v>
      </c>
      <c r="H397" s="17"/>
    </row>
    <row r="398" customFormat="false" ht="15" hidden="false" customHeight="false" outlineLevel="0" collapsed="false">
      <c r="A398" s="10" t="s">
        <v>577</v>
      </c>
      <c r="B398" s="9"/>
      <c r="C398" s="10" t="s">
        <v>57</v>
      </c>
      <c r="D398" s="11"/>
      <c r="E398" s="11"/>
      <c r="F398" s="12" t="s">
        <v>35</v>
      </c>
      <c r="G398" s="11" t="n">
        <v>30</v>
      </c>
      <c r="H398" s="9"/>
    </row>
    <row r="399" customFormat="false" ht="15" hidden="false" customHeight="false" outlineLevel="0" collapsed="false">
      <c r="A399" s="10" t="s">
        <v>578</v>
      </c>
      <c r="B399" s="9"/>
      <c r="C399" s="10" t="s">
        <v>57</v>
      </c>
      <c r="D399" s="11"/>
      <c r="E399" s="11"/>
      <c r="F399" s="12" t="s">
        <v>35</v>
      </c>
      <c r="G399" s="11" t="n">
        <v>30</v>
      </c>
      <c r="H399" s="9"/>
    </row>
    <row r="400" customFormat="false" ht="29.85" hidden="false" customHeight="false" outlineLevel="0" collapsed="false">
      <c r="A400" s="14" t="s">
        <v>579</v>
      </c>
      <c r="B400" s="14" t="s">
        <v>75</v>
      </c>
      <c r="C400" s="13"/>
      <c r="D400" s="15"/>
      <c r="E400" s="15"/>
      <c r="F400" s="16" t="s">
        <v>39</v>
      </c>
      <c r="G400" s="15" t="n">
        <v>5</v>
      </c>
      <c r="H400" s="13"/>
    </row>
    <row r="401" customFormat="false" ht="15" hidden="false" customHeight="false" outlineLevel="0" collapsed="false">
      <c r="A401" s="10" t="s">
        <v>580</v>
      </c>
      <c r="B401" s="10" t="s">
        <v>75</v>
      </c>
      <c r="C401" s="10" t="s">
        <v>57</v>
      </c>
      <c r="D401" s="11"/>
      <c r="E401" s="11"/>
      <c r="F401" s="12" t="s">
        <v>35</v>
      </c>
      <c r="G401" s="11" t="n">
        <v>20</v>
      </c>
      <c r="H401" s="9"/>
    </row>
    <row r="402" customFormat="false" ht="15" hidden="false" customHeight="false" outlineLevel="0" collapsed="false">
      <c r="A402" s="14" t="s">
        <v>581</v>
      </c>
      <c r="B402" s="14" t="s">
        <v>75</v>
      </c>
      <c r="C402" s="13"/>
      <c r="D402" s="15"/>
      <c r="E402" s="15"/>
      <c r="F402" s="16" t="s">
        <v>39</v>
      </c>
      <c r="G402" s="15" t="n">
        <v>5</v>
      </c>
      <c r="H402" s="13"/>
    </row>
    <row r="403" customFormat="false" ht="29.85" hidden="false" customHeight="false" outlineLevel="0" collapsed="false">
      <c r="A403" s="14" t="s">
        <v>582</v>
      </c>
      <c r="B403" s="14" t="s">
        <v>75</v>
      </c>
      <c r="C403" s="13"/>
      <c r="D403" s="15"/>
      <c r="E403" s="15"/>
      <c r="F403" s="16" t="s">
        <v>39</v>
      </c>
      <c r="G403" s="15" t="n">
        <v>6</v>
      </c>
      <c r="H403" s="13"/>
    </row>
    <row r="404" customFormat="false" ht="15" hidden="false" customHeight="false" outlineLevel="0" collapsed="false">
      <c r="A404" s="18" t="s">
        <v>583</v>
      </c>
      <c r="B404" s="18" t="s">
        <v>119</v>
      </c>
      <c r="C404" s="17" t="s">
        <v>107</v>
      </c>
      <c r="D404" s="19" t="n">
        <v>800</v>
      </c>
      <c r="E404" s="19" t="n">
        <v>800</v>
      </c>
      <c r="F404" s="20" t="s">
        <v>47</v>
      </c>
      <c r="G404" s="20" t="n">
        <v>0</v>
      </c>
      <c r="H404" s="17"/>
    </row>
    <row r="405" customFormat="false" ht="15" hidden="false" customHeight="false" outlineLevel="0" collapsed="false">
      <c r="A405" s="10" t="s">
        <v>584</v>
      </c>
      <c r="B405" s="10" t="s">
        <v>119</v>
      </c>
      <c r="C405" s="9" t="s">
        <v>585</v>
      </c>
      <c r="D405" s="21" t="n">
        <v>800</v>
      </c>
      <c r="E405" s="21" t="n">
        <v>800</v>
      </c>
      <c r="F405" s="12" t="s">
        <v>35</v>
      </c>
      <c r="G405" s="11" t="n">
        <v>0</v>
      </c>
      <c r="H405" s="9"/>
    </row>
    <row r="406" customFormat="false" ht="15" hidden="false" customHeight="false" outlineLevel="0" collapsed="false">
      <c r="A406" s="10" t="s">
        <v>586</v>
      </c>
      <c r="B406" s="10" t="s">
        <v>224</v>
      </c>
      <c r="C406" s="10" t="s">
        <v>57</v>
      </c>
      <c r="D406" s="11"/>
      <c r="E406" s="11"/>
      <c r="F406" s="12" t="s">
        <v>35</v>
      </c>
      <c r="G406" s="11" t="n">
        <v>7</v>
      </c>
      <c r="H406" s="9"/>
    </row>
    <row r="407" customFormat="false" ht="15" hidden="false" customHeight="false" outlineLevel="0" collapsed="false">
      <c r="A407" s="10" t="s">
        <v>587</v>
      </c>
      <c r="B407" s="10" t="s">
        <v>224</v>
      </c>
      <c r="C407" s="10" t="s">
        <v>57</v>
      </c>
      <c r="D407" s="11"/>
      <c r="E407" s="11"/>
      <c r="F407" s="12" t="s">
        <v>35</v>
      </c>
      <c r="G407" s="11" t="n">
        <v>7</v>
      </c>
      <c r="H407" s="9"/>
    </row>
    <row r="408" customFormat="false" ht="15" hidden="false" customHeight="false" outlineLevel="0" collapsed="false">
      <c r="A408" s="14" t="s">
        <v>588</v>
      </c>
      <c r="B408" s="14" t="s">
        <v>224</v>
      </c>
      <c r="C408" s="13"/>
      <c r="D408" s="15"/>
      <c r="E408" s="15"/>
      <c r="F408" s="16" t="s">
        <v>39</v>
      </c>
      <c r="G408" s="15" t="n">
        <v>0</v>
      </c>
      <c r="H408" s="13"/>
    </row>
    <row r="409" customFormat="false" ht="29.85" hidden="false" customHeight="false" outlineLevel="0" collapsed="false">
      <c r="A409" s="14" t="s">
        <v>589</v>
      </c>
      <c r="B409" s="14" t="s">
        <v>77</v>
      </c>
      <c r="C409" s="13"/>
      <c r="D409" s="15"/>
      <c r="E409" s="15"/>
      <c r="F409" s="16" t="s">
        <v>39</v>
      </c>
      <c r="G409" s="15" t="n">
        <v>0</v>
      </c>
      <c r="H409" s="13"/>
    </row>
    <row r="410" customFormat="false" ht="29.85" hidden="false" customHeight="false" outlineLevel="0" collapsed="false">
      <c r="A410" s="14" t="s">
        <v>590</v>
      </c>
      <c r="B410" s="14" t="s">
        <v>77</v>
      </c>
      <c r="C410" s="13"/>
      <c r="D410" s="15"/>
      <c r="E410" s="15"/>
      <c r="F410" s="16" t="s">
        <v>39</v>
      </c>
      <c r="G410" s="15" t="n">
        <v>0</v>
      </c>
      <c r="H410" s="13"/>
    </row>
    <row r="411" customFormat="false" ht="29.85" hidden="false" customHeight="false" outlineLevel="0" collapsed="false">
      <c r="A411" s="10" t="s">
        <v>591</v>
      </c>
      <c r="B411" s="10" t="s">
        <v>266</v>
      </c>
      <c r="C411" s="10" t="s">
        <v>57</v>
      </c>
      <c r="D411" s="11"/>
      <c r="E411" s="11"/>
      <c r="F411" s="12" t="s">
        <v>35</v>
      </c>
      <c r="G411" s="11" t="n">
        <v>0</v>
      </c>
      <c r="H411" s="9"/>
    </row>
    <row r="412" customFormat="false" ht="15" hidden="false" customHeight="false" outlineLevel="0" collapsed="false">
      <c r="A412" s="14" t="s">
        <v>592</v>
      </c>
      <c r="B412" s="14" t="s">
        <v>138</v>
      </c>
      <c r="C412" s="13"/>
      <c r="D412" s="15"/>
      <c r="E412" s="15"/>
      <c r="F412" s="16" t="s">
        <v>39</v>
      </c>
      <c r="G412" s="15" t="n">
        <v>0</v>
      </c>
      <c r="H412" s="13"/>
    </row>
    <row r="413" customFormat="false" ht="15" hidden="false" customHeight="false" outlineLevel="0" collapsed="false">
      <c r="A413" s="18" t="s">
        <v>593</v>
      </c>
      <c r="B413" s="18" t="s">
        <v>82</v>
      </c>
      <c r="C413" s="17" t="s">
        <v>161</v>
      </c>
      <c r="D413" s="19" t="n">
        <v>5000</v>
      </c>
      <c r="E413" s="19" t="n">
        <v>5000</v>
      </c>
      <c r="F413" s="20" t="s">
        <v>47</v>
      </c>
      <c r="G413" s="20" t="n">
        <v>5</v>
      </c>
      <c r="H413" s="17"/>
    </row>
    <row r="414" customFormat="false" ht="15" hidden="false" customHeight="false" outlineLevel="0" collapsed="false">
      <c r="A414" s="18" t="s">
        <v>594</v>
      </c>
      <c r="B414" s="18" t="s">
        <v>82</v>
      </c>
      <c r="C414" s="17" t="s">
        <v>161</v>
      </c>
      <c r="D414" s="19" t="n">
        <v>5000</v>
      </c>
      <c r="E414" s="19" t="n">
        <v>5000</v>
      </c>
      <c r="F414" s="20" t="s">
        <v>47</v>
      </c>
      <c r="G414" s="20" t="n">
        <v>5</v>
      </c>
      <c r="H414" s="17"/>
    </row>
    <row r="415" customFormat="false" ht="15" hidden="false" customHeight="false" outlineLevel="0" collapsed="false">
      <c r="A415" s="18" t="s">
        <v>595</v>
      </c>
      <c r="B415" s="18" t="s">
        <v>82</v>
      </c>
      <c r="C415" s="17" t="s">
        <v>161</v>
      </c>
      <c r="D415" s="19" t="n">
        <v>5000</v>
      </c>
      <c r="E415" s="19" t="n">
        <v>5000</v>
      </c>
      <c r="F415" s="20" t="s">
        <v>47</v>
      </c>
      <c r="G415" s="20" t="n">
        <v>5</v>
      </c>
      <c r="H415" s="17"/>
    </row>
    <row r="416" customFormat="false" ht="29.85" hidden="false" customHeight="false" outlineLevel="0" collapsed="false">
      <c r="A416" s="18" t="s">
        <v>596</v>
      </c>
      <c r="B416" s="18" t="s">
        <v>82</v>
      </c>
      <c r="C416" s="17" t="s">
        <v>161</v>
      </c>
      <c r="D416" s="19" t="n">
        <v>5000</v>
      </c>
      <c r="E416" s="19" t="n">
        <v>5000</v>
      </c>
      <c r="F416" s="20" t="s">
        <v>47</v>
      </c>
      <c r="G416" s="20" t="n">
        <v>0</v>
      </c>
      <c r="H416" s="17"/>
    </row>
    <row r="417" customFormat="false" ht="15" hidden="false" customHeight="false" outlineLevel="0" collapsed="false">
      <c r="A417" s="14" t="s">
        <v>597</v>
      </c>
      <c r="B417" s="13"/>
      <c r="C417" s="13"/>
      <c r="D417" s="15"/>
      <c r="E417" s="15"/>
      <c r="F417" s="16" t="s">
        <v>39</v>
      </c>
      <c r="G417" s="15" t="n">
        <v>0</v>
      </c>
      <c r="H417" s="13"/>
    </row>
    <row r="418" customFormat="false" ht="15" hidden="false" customHeight="false" outlineLevel="0" collapsed="false">
      <c r="A418" s="14" t="s">
        <v>598</v>
      </c>
      <c r="B418" s="14" t="s">
        <v>318</v>
      </c>
      <c r="C418" s="13"/>
      <c r="D418" s="15"/>
      <c r="E418" s="15"/>
      <c r="F418" s="16" t="s">
        <v>39</v>
      </c>
      <c r="G418" s="15" t="n">
        <v>0</v>
      </c>
      <c r="H418" s="13"/>
    </row>
    <row r="419" customFormat="false" ht="15" hidden="false" customHeight="false" outlineLevel="0" collapsed="false">
      <c r="A419" s="14" t="s">
        <v>599</v>
      </c>
      <c r="B419" s="14" t="s">
        <v>318</v>
      </c>
      <c r="C419" s="13"/>
      <c r="D419" s="15"/>
      <c r="E419" s="15"/>
      <c r="F419" s="16" t="s">
        <v>39</v>
      </c>
      <c r="G419" s="15" t="n">
        <v>0</v>
      </c>
      <c r="H419" s="13"/>
    </row>
    <row r="420" customFormat="false" ht="15" hidden="false" customHeight="false" outlineLevel="0" collapsed="false">
      <c r="A420" s="10" t="s">
        <v>600</v>
      </c>
      <c r="B420" s="10" t="s">
        <v>318</v>
      </c>
      <c r="C420" s="10" t="s">
        <v>57</v>
      </c>
      <c r="D420" s="11"/>
      <c r="E420" s="11"/>
      <c r="F420" s="12" t="s">
        <v>35</v>
      </c>
      <c r="G420" s="11" t="n">
        <v>1</v>
      </c>
      <c r="H420" s="9"/>
    </row>
    <row r="421" customFormat="false" ht="15" hidden="false" customHeight="false" outlineLevel="0" collapsed="false">
      <c r="A421" s="10" t="s">
        <v>601</v>
      </c>
      <c r="B421" s="10" t="s">
        <v>318</v>
      </c>
      <c r="C421" s="10" t="s">
        <v>57</v>
      </c>
      <c r="D421" s="11"/>
      <c r="E421" s="11"/>
      <c r="F421" s="12" t="s">
        <v>35</v>
      </c>
      <c r="G421" s="11" t="n">
        <v>1</v>
      </c>
      <c r="H421" s="9"/>
    </row>
    <row r="422" customFormat="false" ht="15" hidden="false" customHeight="false" outlineLevel="0" collapsed="false">
      <c r="A422" s="18" t="s">
        <v>602</v>
      </c>
      <c r="B422" s="18" t="s">
        <v>82</v>
      </c>
      <c r="C422" s="17" t="s">
        <v>375</v>
      </c>
      <c r="D422" s="19" t="n">
        <v>10000</v>
      </c>
      <c r="E422" s="19" t="n">
        <v>10000</v>
      </c>
      <c r="F422" s="20" t="s">
        <v>47</v>
      </c>
      <c r="G422" s="20" t="n">
        <v>5</v>
      </c>
      <c r="H422" s="17"/>
    </row>
    <row r="423" customFormat="false" ht="15" hidden="false" customHeight="false" outlineLevel="0" collapsed="false">
      <c r="A423" s="14" t="s">
        <v>603</v>
      </c>
      <c r="B423" s="14" t="s">
        <v>315</v>
      </c>
      <c r="C423" s="14" t="s">
        <v>604</v>
      </c>
      <c r="D423" s="15"/>
      <c r="E423" s="15"/>
      <c r="F423" s="16" t="s">
        <v>39</v>
      </c>
      <c r="G423" s="15" t="n">
        <v>7</v>
      </c>
      <c r="H423" s="13"/>
    </row>
    <row r="424" customFormat="false" ht="15" hidden="false" customHeight="false" outlineLevel="0" collapsed="false">
      <c r="A424" s="10" t="s">
        <v>605</v>
      </c>
      <c r="B424" s="10" t="s">
        <v>318</v>
      </c>
      <c r="C424" s="10" t="s">
        <v>57</v>
      </c>
      <c r="D424" s="11"/>
      <c r="E424" s="11"/>
      <c r="F424" s="12" t="s">
        <v>35</v>
      </c>
      <c r="G424" s="11" t="n">
        <v>1</v>
      </c>
      <c r="H424" s="9"/>
    </row>
    <row r="425" customFormat="false" ht="15" hidden="false" customHeight="false" outlineLevel="0" collapsed="false">
      <c r="A425" s="18" t="s">
        <v>606</v>
      </c>
      <c r="B425" s="18" t="s">
        <v>82</v>
      </c>
      <c r="C425" s="18" t="s">
        <v>607</v>
      </c>
      <c r="D425" s="19" t="n">
        <v>30000</v>
      </c>
      <c r="E425" s="19" t="n">
        <v>30000</v>
      </c>
      <c r="F425" s="20" t="s">
        <v>47</v>
      </c>
      <c r="G425" s="20" t="n">
        <v>7</v>
      </c>
      <c r="H425" s="17"/>
    </row>
    <row r="426" customFormat="false" ht="15" hidden="false" customHeight="false" outlineLevel="0" collapsed="false">
      <c r="A426" s="14" t="s">
        <v>608</v>
      </c>
      <c r="B426" s="14" t="s">
        <v>609</v>
      </c>
      <c r="C426" s="13"/>
      <c r="D426" s="15"/>
      <c r="E426" s="15"/>
      <c r="F426" s="16" t="s">
        <v>39</v>
      </c>
      <c r="G426" s="15" t="n">
        <v>14</v>
      </c>
      <c r="H426" s="13"/>
    </row>
    <row r="427" customFormat="false" ht="15" hidden="false" customHeight="false" outlineLevel="0" collapsed="false">
      <c r="A427" s="14" t="s">
        <v>610</v>
      </c>
      <c r="B427" s="14" t="s">
        <v>176</v>
      </c>
      <c r="C427" s="13"/>
      <c r="D427" s="15"/>
      <c r="E427" s="15"/>
      <c r="F427" s="16" t="s">
        <v>39</v>
      </c>
      <c r="G427" s="15" t="n">
        <v>7</v>
      </c>
      <c r="H427" s="13"/>
    </row>
    <row r="428" customFormat="false" ht="44" hidden="false" customHeight="false" outlineLevel="0" collapsed="false">
      <c r="A428" s="10" t="s">
        <v>611</v>
      </c>
      <c r="B428" s="10" t="s">
        <v>138</v>
      </c>
      <c r="C428" s="9" t="s">
        <v>612</v>
      </c>
      <c r="D428" s="21" t="n">
        <v>1300</v>
      </c>
      <c r="E428" s="21" t="n">
        <v>15000</v>
      </c>
      <c r="F428" s="12" t="s">
        <v>35</v>
      </c>
      <c r="G428" s="11" t="n">
        <v>0</v>
      </c>
      <c r="H428" s="9"/>
    </row>
    <row r="429" customFormat="false" ht="15" hidden="false" customHeight="false" outlineLevel="0" collapsed="false">
      <c r="A429" s="10" t="s">
        <v>613</v>
      </c>
      <c r="B429" s="10" t="s">
        <v>92</v>
      </c>
      <c r="C429" s="10" t="s">
        <v>34</v>
      </c>
      <c r="D429" s="11"/>
      <c r="E429" s="11"/>
      <c r="F429" s="12" t="s">
        <v>35</v>
      </c>
      <c r="G429" s="11" t="n">
        <v>0</v>
      </c>
      <c r="H429" s="9"/>
    </row>
    <row r="430" customFormat="false" ht="15" hidden="false" customHeight="false" outlineLevel="0" collapsed="false">
      <c r="A430" s="10" t="s">
        <v>614</v>
      </c>
      <c r="B430" s="10" t="s">
        <v>92</v>
      </c>
      <c r="C430" s="10" t="s">
        <v>34</v>
      </c>
      <c r="D430" s="11"/>
      <c r="E430" s="11"/>
      <c r="F430" s="12" t="s">
        <v>35</v>
      </c>
      <c r="G430" s="11" t="n">
        <v>3</v>
      </c>
      <c r="H430" s="9"/>
    </row>
    <row r="431" customFormat="false" ht="29.85" hidden="false" customHeight="false" outlineLevel="0" collapsed="false">
      <c r="A431" s="18" t="s">
        <v>615</v>
      </c>
      <c r="B431" s="18" t="s">
        <v>38</v>
      </c>
      <c r="C431" s="17" t="s">
        <v>375</v>
      </c>
      <c r="D431" s="19" t="n">
        <v>10000</v>
      </c>
      <c r="E431" s="19" t="n">
        <v>10000</v>
      </c>
      <c r="F431" s="20" t="s">
        <v>47</v>
      </c>
      <c r="G431" s="20" t="n">
        <v>3</v>
      </c>
      <c r="H431" s="17"/>
    </row>
    <row r="432" customFormat="false" ht="29.85" hidden="false" customHeight="false" outlineLevel="0" collapsed="false">
      <c r="A432" s="18" t="s">
        <v>616</v>
      </c>
      <c r="B432" s="18" t="s">
        <v>617</v>
      </c>
      <c r="C432" s="17" t="s">
        <v>375</v>
      </c>
      <c r="D432" s="19" t="n">
        <v>10000</v>
      </c>
      <c r="E432" s="19" t="n">
        <v>10000</v>
      </c>
      <c r="F432" s="20" t="s">
        <v>47</v>
      </c>
      <c r="G432" s="20" t="n">
        <v>3</v>
      </c>
      <c r="H432" s="17"/>
    </row>
    <row r="433" customFormat="false" ht="29.85" hidden="false" customHeight="false" outlineLevel="0" collapsed="false">
      <c r="A433" s="10" t="s">
        <v>618</v>
      </c>
      <c r="B433" s="10" t="s">
        <v>92</v>
      </c>
      <c r="C433" s="10" t="s">
        <v>57</v>
      </c>
      <c r="D433" s="11"/>
      <c r="E433" s="11"/>
      <c r="F433" s="12" t="s">
        <v>35</v>
      </c>
      <c r="G433" s="11" t="n">
        <v>0</v>
      </c>
      <c r="H433" s="9"/>
    </row>
    <row r="434" customFormat="false" ht="15" hidden="false" customHeight="false" outlineLevel="0" collapsed="false">
      <c r="A434" s="18" t="s">
        <v>619</v>
      </c>
      <c r="B434" s="18" t="s">
        <v>92</v>
      </c>
      <c r="C434" s="17" t="s">
        <v>375</v>
      </c>
      <c r="D434" s="19" t="n">
        <v>10000</v>
      </c>
      <c r="E434" s="19" t="n">
        <v>10000</v>
      </c>
      <c r="F434" s="20" t="s">
        <v>47</v>
      </c>
      <c r="G434" s="20" t="n">
        <v>3</v>
      </c>
      <c r="H434" s="17"/>
    </row>
    <row r="435" customFormat="false" ht="29.85" hidden="false" customHeight="false" outlineLevel="0" collapsed="false">
      <c r="A435" s="18" t="s">
        <v>620</v>
      </c>
      <c r="B435" s="18" t="s">
        <v>92</v>
      </c>
      <c r="C435" s="17" t="s">
        <v>161</v>
      </c>
      <c r="D435" s="19" t="n">
        <v>5000</v>
      </c>
      <c r="E435" s="19" t="n">
        <v>5000</v>
      </c>
      <c r="F435" s="20" t="s">
        <v>47</v>
      </c>
      <c r="G435" s="20" t="n">
        <v>3</v>
      </c>
      <c r="H435" s="17"/>
    </row>
    <row r="436" customFormat="false" ht="44" hidden="false" customHeight="false" outlineLevel="0" collapsed="false">
      <c r="A436" s="18" t="s">
        <v>621</v>
      </c>
      <c r="B436" s="18" t="s">
        <v>41</v>
      </c>
      <c r="C436" s="18" t="s">
        <v>622</v>
      </c>
      <c r="D436" s="19" t="n">
        <v>9300</v>
      </c>
      <c r="E436" s="19" t="n">
        <v>26500</v>
      </c>
      <c r="F436" s="20" t="s">
        <v>47</v>
      </c>
      <c r="G436" s="20" t="n">
        <v>0</v>
      </c>
      <c r="H436" s="17"/>
    </row>
    <row r="437" customFormat="false" ht="44" hidden="false" customHeight="false" outlineLevel="0" collapsed="false">
      <c r="A437" s="18" t="s">
        <v>623</v>
      </c>
      <c r="B437" s="18" t="s">
        <v>41</v>
      </c>
      <c r="C437" s="18" t="s">
        <v>624</v>
      </c>
      <c r="D437" s="19" t="n">
        <v>9300</v>
      </c>
      <c r="E437" s="19" t="n">
        <v>26500</v>
      </c>
      <c r="F437" s="20" t="s">
        <v>47</v>
      </c>
      <c r="G437" s="20" t="n">
        <v>3</v>
      </c>
      <c r="H437" s="17"/>
    </row>
    <row r="438" customFormat="false" ht="15" hidden="false" customHeight="false" outlineLevel="0" collapsed="false">
      <c r="A438" s="18" t="s">
        <v>625</v>
      </c>
      <c r="B438" s="18" t="s">
        <v>124</v>
      </c>
      <c r="C438" s="17" t="s">
        <v>126</v>
      </c>
      <c r="D438" s="19" t="n">
        <v>28000</v>
      </c>
      <c r="E438" s="19" t="n">
        <v>28000</v>
      </c>
      <c r="F438" s="20" t="s">
        <v>47</v>
      </c>
      <c r="G438" s="20" t="n">
        <v>0</v>
      </c>
      <c r="H438" s="17"/>
    </row>
    <row r="439" customFormat="false" ht="29.85" hidden="false" customHeight="false" outlineLevel="0" collapsed="false">
      <c r="A439" s="14" t="s">
        <v>626</v>
      </c>
      <c r="B439" s="14" t="s">
        <v>124</v>
      </c>
      <c r="C439" s="13"/>
      <c r="D439" s="15"/>
      <c r="E439" s="15"/>
      <c r="F439" s="16" t="s">
        <v>39</v>
      </c>
      <c r="G439" s="15" t="n">
        <v>0</v>
      </c>
      <c r="H439" s="13"/>
    </row>
    <row r="440" customFormat="false" ht="15" hidden="false" customHeight="false" outlineLevel="0" collapsed="false">
      <c r="A440" s="18" t="s">
        <v>627</v>
      </c>
      <c r="B440" s="18" t="s">
        <v>124</v>
      </c>
      <c r="C440" s="18" t="s">
        <v>628</v>
      </c>
      <c r="D440" s="19" t="n">
        <v>9300</v>
      </c>
      <c r="E440" s="19" t="n">
        <v>26500</v>
      </c>
      <c r="F440" s="20" t="s">
        <v>47</v>
      </c>
      <c r="G440" s="20" t="n">
        <v>0</v>
      </c>
      <c r="H440" s="17"/>
    </row>
    <row r="441" customFormat="false" ht="29.85" hidden="false" customHeight="false" outlineLevel="0" collapsed="false">
      <c r="A441" s="14" t="s">
        <v>629</v>
      </c>
      <c r="B441" s="14" t="s">
        <v>630</v>
      </c>
      <c r="C441" s="13"/>
      <c r="D441" s="15"/>
      <c r="E441" s="15"/>
      <c r="F441" s="16" t="s">
        <v>39</v>
      </c>
      <c r="G441" s="15" t="n">
        <v>0</v>
      </c>
      <c r="H441" s="13"/>
    </row>
    <row r="442" customFormat="false" ht="15" hidden="false" customHeight="false" outlineLevel="0" collapsed="false">
      <c r="A442" s="18" t="s">
        <v>631</v>
      </c>
      <c r="B442" s="18" t="s">
        <v>124</v>
      </c>
      <c r="C442" s="18" t="s">
        <v>632</v>
      </c>
      <c r="D442" s="19" t="n">
        <v>9300</v>
      </c>
      <c r="E442" s="19" t="n">
        <v>26500</v>
      </c>
      <c r="F442" s="20" t="s">
        <v>47</v>
      </c>
      <c r="G442" s="20" t="n">
        <v>3</v>
      </c>
      <c r="H442" s="17"/>
    </row>
    <row r="443" customFormat="false" ht="15" hidden="false" customHeight="false" outlineLevel="0" collapsed="false">
      <c r="A443" s="18" t="s">
        <v>633</v>
      </c>
      <c r="B443" s="18" t="s">
        <v>124</v>
      </c>
      <c r="C443" s="17" t="s">
        <v>126</v>
      </c>
      <c r="D443" s="19" t="n">
        <v>28000</v>
      </c>
      <c r="E443" s="19" t="n">
        <v>28000</v>
      </c>
      <c r="F443" s="20" t="s">
        <v>47</v>
      </c>
      <c r="G443" s="20" t="n">
        <v>3</v>
      </c>
      <c r="H443" s="17"/>
    </row>
    <row r="444" customFormat="false" ht="29.85" hidden="false" customHeight="false" outlineLevel="0" collapsed="false">
      <c r="A444" s="18" t="s">
        <v>634</v>
      </c>
      <c r="B444" s="18" t="s">
        <v>41</v>
      </c>
      <c r="C444" s="17" t="s">
        <v>126</v>
      </c>
      <c r="D444" s="19" t="n">
        <v>28000</v>
      </c>
      <c r="E444" s="19" t="n">
        <v>28000</v>
      </c>
      <c r="F444" s="20" t="s">
        <v>47</v>
      </c>
      <c r="G444" s="20" t="n">
        <v>0</v>
      </c>
      <c r="H444" s="17"/>
    </row>
    <row r="445" customFormat="false" ht="29.85" hidden="false" customHeight="false" outlineLevel="0" collapsed="false">
      <c r="A445" s="14" t="s">
        <v>635</v>
      </c>
      <c r="B445" s="14" t="s">
        <v>41</v>
      </c>
      <c r="C445" s="13"/>
      <c r="D445" s="15"/>
      <c r="E445" s="15"/>
      <c r="F445" s="16" t="s">
        <v>39</v>
      </c>
      <c r="G445" s="15" t="n">
        <v>0</v>
      </c>
      <c r="H445" s="13"/>
    </row>
    <row r="446" customFormat="false" ht="29.85" hidden="false" customHeight="false" outlineLevel="0" collapsed="false">
      <c r="A446" s="18" t="s">
        <v>636</v>
      </c>
      <c r="B446" s="18" t="s">
        <v>41</v>
      </c>
      <c r="C446" s="17" t="s">
        <v>130</v>
      </c>
      <c r="D446" s="19" t="n">
        <v>9300</v>
      </c>
      <c r="E446" s="19" t="n">
        <v>9300</v>
      </c>
      <c r="F446" s="20" t="s">
        <v>47</v>
      </c>
      <c r="G446" s="20" t="n">
        <v>0</v>
      </c>
      <c r="H446" s="17"/>
    </row>
    <row r="447" customFormat="false" ht="15" hidden="false" customHeight="false" outlineLevel="0" collapsed="false">
      <c r="A447" s="18" t="s">
        <v>637</v>
      </c>
      <c r="B447" s="18" t="s">
        <v>124</v>
      </c>
      <c r="C447" s="17" t="s">
        <v>130</v>
      </c>
      <c r="D447" s="19" t="n">
        <v>9300</v>
      </c>
      <c r="E447" s="19" t="n">
        <v>9300</v>
      </c>
      <c r="F447" s="20" t="s">
        <v>47</v>
      </c>
      <c r="G447" s="20" t="n">
        <v>0</v>
      </c>
      <c r="H447" s="17"/>
    </row>
    <row r="448" customFormat="false" ht="29.85" hidden="false" customHeight="false" outlineLevel="0" collapsed="false">
      <c r="A448" s="18" t="s">
        <v>638</v>
      </c>
      <c r="B448" s="18" t="s">
        <v>41</v>
      </c>
      <c r="C448" s="17" t="s">
        <v>126</v>
      </c>
      <c r="D448" s="19" t="n">
        <v>28000</v>
      </c>
      <c r="E448" s="19" t="n">
        <v>28000</v>
      </c>
      <c r="F448" s="20" t="s">
        <v>47</v>
      </c>
      <c r="G448" s="20" t="n">
        <v>3</v>
      </c>
      <c r="H448" s="17"/>
    </row>
    <row r="449" customFormat="false" ht="15" hidden="false" customHeight="false" outlineLevel="0" collapsed="false">
      <c r="A449" s="10" t="s">
        <v>639</v>
      </c>
      <c r="B449" s="10" t="s">
        <v>241</v>
      </c>
      <c r="C449" s="10" t="s">
        <v>57</v>
      </c>
      <c r="D449" s="11"/>
      <c r="E449" s="11"/>
      <c r="F449" s="12" t="s">
        <v>35</v>
      </c>
      <c r="G449" s="11" t="n">
        <v>7</v>
      </c>
      <c r="H449" s="9"/>
    </row>
    <row r="450" customFormat="false" ht="29.85" hidden="false" customHeight="false" outlineLevel="0" collapsed="false">
      <c r="A450" s="14" t="s">
        <v>640</v>
      </c>
      <c r="B450" s="14" t="s">
        <v>641</v>
      </c>
      <c r="C450" s="13"/>
      <c r="D450" s="15"/>
      <c r="E450" s="15"/>
      <c r="F450" s="16" t="s">
        <v>39</v>
      </c>
      <c r="G450" s="15" t="n">
        <v>7</v>
      </c>
      <c r="H450" s="13"/>
    </row>
    <row r="451" customFormat="false" ht="29.85" hidden="false" customHeight="false" outlineLevel="0" collapsed="false">
      <c r="A451" s="14" t="s">
        <v>642</v>
      </c>
      <c r="B451" s="14" t="s">
        <v>346</v>
      </c>
      <c r="C451" s="13"/>
      <c r="D451" s="15"/>
      <c r="E451" s="15"/>
      <c r="F451" s="16" t="s">
        <v>39</v>
      </c>
      <c r="G451" s="15" t="n">
        <v>2</v>
      </c>
      <c r="H451" s="13"/>
    </row>
    <row r="452" customFormat="false" ht="15" hidden="false" customHeight="false" outlineLevel="0" collapsed="false">
      <c r="A452" s="14" t="s">
        <v>643</v>
      </c>
      <c r="B452" s="14" t="s">
        <v>75</v>
      </c>
      <c r="C452" s="13"/>
      <c r="D452" s="15"/>
      <c r="E452" s="15"/>
      <c r="F452" s="16" t="s">
        <v>39</v>
      </c>
      <c r="G452" s="15" t="n">
        <v>2</v>
      </c>
      <c r="H452" s="13"/>
    </row>
    <row r="453" customFormat="false" ht="15" hidden="false" customHeight="false" outlineLevel="0" collapsed="false">
      <c r="A453" s="10" t="s">
        <v>644</v>
      </c>
      <c r="B453" s="9"/>
      <c r="C453" s="10" t="s">
        <v>196</v>
      </c>
      <c r="D453" s="11"/>
      <c r="E453" s="11"/>
      <c r="F453" s="12" t="s">
        <v>35</v>
      </c>
      <c r="G453" s="11" t="n">
        <v>14</v>
      </c>
      <c r="H453" s="9"/>
    </row>
    <row r="454" customFormat="false" ht="15" hidden="false" customHeight="false" outlineLevel="0" collapsed="false">
      <c r="A454" s="18" t="s">
        <v>645</v>
      </c>
      <c r="B454" s="18" t="s">
        <v>132</v>
      </c>
      <c r="C454" s="17" t="s">
        <v>375</v>
      </c>
      <c r="D454" s="19" t="n">
        <v>10000</v>
      </c>
      <c r="E454" s="19" t="n">
        <v>10000</v>
      </c>
      <c r="F454" s="20" t="s">
        <v>47</v>
      </c>
      <c r="G454" s="20" t="n">
        <v>3</v>
      </c>
      <c r="H454" s="17"/>
    </row>
    <row r="455" customFormat="false" ht="15" hidden="false" customHeight="false" outlineLevel="0" collapsed="false">
      <c r="A455" s="18" t="s">
        <v>646</v>
      </c>
      <c r="B455" s="18" t="s">
        <v>132</v>
      </c>
      <c r="C455" s="17" t="s">
        <v>375</v>
      </c>
      <c r="D455" s="19" t="n">
        <v>10000</v>
      </c>
      <c r="E455" s="19" t="n">
        <v>10000</v>
      </c>
      <c r="F455" s="20" t="s">
        <v>47</v>
      </c>
      <c r="G455" s="20" t="n">
        <v>0</v>
      </c>
      <c r="H455" s="17"/>
    </row>
    <row r="456" customFormat="false" ht="29.85" hidden="false" customHeight="false" outlineLevel="0" collapsed="false">
      <c r="A456" s="10" t="s">
        <v>647</v>
      </c>
      <c r="B456" s="10" t="s">
        <v>38</v>
      </c>
      <c r="C456" s="10" t="s">
        <v>34</v>
      </c>
      <c r="D456" s="11"/>
      <c r="E456" s="11"/>
      <c r="F456" s="12" t="s">
        <v>35</v>
      </c>
      <c r="G456" s="11" t="n">
        <v>0</v>
      </c>
      <c r="H456" s="9"/>
    </row>
    <row r="457" customFormat="false" ht="15" hidden="false" customHeight="false" outlineLevel="0" collapsed="false">
      <c r="A457" s="14" t="s">
        <v>648</v>
      </c>
      <c r="B457" s="14" t="s">
        <v>51</v>
      </c>
      <c r="C457" s="13"/>
      <c r="D457" s="15"/>
      <c r="E457" s="15"/>
      <c r="F457" s="16" t="s">
        <v>39</v>
      </c>
      <c r="G457" s="15" t="n">
        <v>0</v>
      </c>
      <c r="H457" s="13"/>
    </row>
    <row r="458" customFormat="false" ht="29.85" hidden="false" customHeight="false" outlineLevel="0" collapsed="false">
      <c r="A458" s="10" t="s">
        <v>649</v>
      </c>
      <c r="B458" s="9"/>
      <c r="C458" s="10" t="s">
        <v>57</v>
      </c>
      <c r="D458" s="11"/>
      <c r="E458" s="11"/>
      <c r="F458" s="12" t="s">
        <v>35</v>
      </c>
      <c r="G458" s="11" t="n">
        <v>3</v>
      </c>
      <c r="H458" s="9"/>
    </row>
    <row r="459" customFormat="false" ht="29.85" hidden="false" customHeight="false" outlineLevel="0" collapsed="false">
      <c r="A459" s="10" t="s">
        <v>650</v>
      </c>
      <c r="B459" s="10" t="s">
        <v>132</v>
      </c>
      <c r="C459" s="10" t="s">
        <v>57</v>
      </c>
      <c r="D459" s="11"/>
      <c r="E459" s="11"/>
      <c r="F459" s="12" t="s">
        <v>35</v>
      </c>
      <c r="G459" s="11" t="n">
        <v>3</v>
      </c>
      <c r="H459" s="9"/>
    </row>
    <row r="460" customFormat="false" ht="15" hidden="false" customHeight="false" outlineLevel="0" collapsed="false">
      <c r="A460" s="14" t="s">
        <v>651</v>
      </c>
      <c r="B460" s="14" t="s">
        <v>51</v>
      </c>
      <c r="C460" s="13"/>
      <c r="D460" s="15"/>
      <c r="E460" s="15"/>
      <c r="F460" s="16" t="s">
        <v>39</v>
      </c>
      <c r="G460" s="15" t="n">
        <v>0</v>
      </c>
      <c r="H460" s="13"/>
    </row>
    <row r="461" customFormat="false" ht="15" hidden="false" customHeight="false" outlineLevel="0" collapsed="false">
      <c r="A461" s="18" t="s">
        <v>652</v>
      </c>
      <c r="B461" s="18" t="s">
        <v>132</v>
      </c>
      <c r="C461" s="18" t="s">
        <v>653</v>
      </c>
      <c r="D461" s="19" t="n">
        <v>5000</v>
      </c>
      <c r="E461" s="19" t="n">
        <v>10000</v>
      </c>
      <c r="F461" s="20" t="s">
        <v>47</v>
      </c>
      <c r="G461" s="20" t="n">
        <v>3</v>
      </c>
      <c r="H461" s="17"/>
    </row>
    <row r="462" customFormat="false" ht="15" hidden="false" customHeight="false" outlineLevel="0" collapsed="false">
      <c r="A462" s="18" t="s">
        <v>654</v>
      </c>
      <c r="B462" s="18" t="s">
        <v>132</v>
      </c>
      <c r="C462" s="17" t="s">
        <v>161</v>
      </c>
      <c r="D462" s="19" t="n">
        <v>5000</v>
      </c>
      <c r="E462" s="19" t="n">
        <v>5000</v>
      </c>
      <c r="F462" s="20" t="s">
        <v>47</v>
      </c>
      <c r="G462" s="20" t="n">
        <v>7</v>
      </c>
      <c r="H462" s="17"/>
    </row>
    <row r="463" customFormat="false" ht="29.85" hidden="false" customHeight="false" outlineLevel="0" collapsed="false">
      <c r="A463" s="18" t="s">
        <v>655</v>
      </c>
      <c r="B463" s="18" t="s">
        <v>51</v>
      </c>
      <c r="C463" s="17" t="s">
        <v>52</v>
      </c>
      <c r="D463" s="19" t="n">
        <v>15000</v>
      </c>
      <c r="E463" s="19" t="n">
        <v>15000</v>
      </c>
      <c r="F463" s="20" t="s">
        <v>47</v>
      </c>
      <c r="G463" s="20" t="n">
        <v>0</v>
      </c>
      <c r="H463" s="17"/>
    </row>
    <row r="464" customFormat="false" ht="29.85" hidden="false" customHeight="false" outlineLevel="0" collapsed="false">
      <c r="A464" s="14" t="s">
        <v>656</v>
      </c>
      <c r="B464" s="14" t="s">
        <v>38</v>
      </c>
      <c r="C464" s="13"/>
      <c r="D464" s="15"/>
      <c r="E464" s="15"/>
      <c r="F464" s="16" t="s">
        <v>39</v>
      </c>
      <c r="G464" s="15" t="n">
        <v>4</v>
      </c>
      <c r="H464" s="13"/>
    </row>
    <row r="465" customFormat="false" ht="15" hidden="false" customHeight="false" outlineLevel="0" collapsed="false">
      <c r="A465" s="14" t="s">
        <v>657</v>
      </c>
      <c r="B465" s="14" t="s">
        <v>51</v>
      </c>
      <c r="C465" s="13"/>
      <c r="D465" s="15"/>
      <c r="E465" s="15"/>
      <c r="F465" s="16" t="s">
        <v>39</v>
      </c>
      <c r="G465" s="15" t="n">
        <v>4</v>
      </c>
      <c r="H465" s="13"/>
    </row>
    <row r="466" customFormat="false" ht="15" hidden="false" customHeight="false" outlineLevel="0" collapsed="false">
      <c r="A466" s="14" t="s">
        <v>658</v>
      </c>
      <c r="B466" s="14" t="s">
        <v>51</v>
      </c>
      <c r="C466" s="13"/>
      <c r="D466" s="15"/>
      <c r="E466" s="15"/>
      <c r="F466" s="16" t="s">
        <v>39</v>
      </c>
      <c r="G466" s="15" t="n">
        <v>3</v>
      </c>
      <c r="H466" s="13"/>
    </row>
    <row r="467" customFormat="false" ht="15" hidden="false" customHeight="false" outlineLevel="0" collapsed="false">
      <c r="A467" s="18" t="s">
        <v>659</v>
      </c>
      <c r="B467" s="18" t="s">
        <v>51</v>
      </c>
      <c r="C467" s="17" t="s">
        <v>660</v>
      </c>
      <c r="D467" s="19" t="n">
        <v>50000</v>
      </c>
      <c r="E467" s="19" t="n">
        <v>50000</v>
      </c>
      <c r="F467" s="20" t="s">
        <v>47</v>
      </c>
      <c r="G467" s="20" t="n">
        <v>4</v>
      </c>
      <c r="H467" s="17"/>
    </row>
    <row r="468" customFormat="false" ht="29.85" hidden="false" customHeight="false" outlineLevel="0" collapsed="false">
      <c r="A468" s="18" t="s">
        <v>661</v>
      </c>
      <c r="B468" s="18" t="s">
        <v>51</v>
      </c>
      <c r="C468" s="17" t="s">
        <v>52</v>
      </c>
      <c r="D468" s="19" t="n">
        <v>15000</v>
      </c>
      <c r="E468" s="19" t="n">
        <v>15000</v>
      </c>
      <c r="F468" s="20" t="s">
        <v>47</v>
      </c>
      <c r="G468" s="20" t="n">
        <v>0</v>
      </c>
      <c r="H468" s="17"/>
    </row>
    <row r="469" customFormat="false" ht="15" hidden="false" customHeight="false" outlineLevel="0" collapsed="false">
      <c r="A469" s="10" t="s">
        <v>662</v>
      </c>
      <c r="B469" s="10" t="s">
        <v>51</v>
      </c>
      <c r="C469" s="10" t="s">
        <v>57</v>
      </c>
      <c r="D469" s="11"/>
      <c r="E469" s="11"/>
      <c r="F469" s="12" t="s">
        <v>35</v>
      </c>
      <c r="G469" s="11" t="n">
        <v>3</v>
      </c>
      <c r="H469" s="9"/>
    </row>
    <row r="470" customFormat="false" ht="29.85" hidden="false" customHeight="false" outlineLevel="0" collapsed="false">
      <c r="A470" s="18" t="s">
        <v>663</v>
      </c>
      <c r="B470" s="18" t="s">
        <v>51</v>
      </c>
      <c r="C470" s="17" t="s">
        <v>52</v>
      </c>
      <c r="D470" s="19" t="n">
        <v>15000</v>
      </c>
      <c r="E470" s="19" t="n">
        <v>15000</v>
      </c>
      <c r="F470" s="20" t="s">
        <v>47</v>
      </c>
      <c r="G470" s="20" t="n">
        <v>0</v>
      </c>
      <c r="H470" s="17"/>
    </row>
    <row r="471" customFormat="false" ht="15" hidden="false" customHeight="false" outlineLevel="0" collapsed="false">
      <c r="A471" s="18" t="s">
        <v>664</v>
      </c>
      <c r="B471" s="18" t="s">
        <v>51</v>
      </c>
      <c r="C471" s="18" t="s">
        <v>665</v>
      </c>
      <c r="D471" s="19" t="n">
        <v>30000</v>
      </c>
      <c r="E471" s="19" t="n">
        <v>30000</v>
      </c>
      <c r="F471" s="20" t="s">
        <v>47</v>
      </c>
      <c r="G471" s="20" t="n">
        <v>5</v>
      </c>
      <c r="H471" s="17"/>
    </row>
    <row r="472" customFormat="false" ht="29.85" hidden="false" customHeight="false" outlineLevel="0" collapsed="false">
      <c r="A472" s="10" t="s">
        <v>666</v>
      </c>
      <c r="B472" s="10" t="s">
        <v>38</v>
      </c>
      <c r="C472" s="10" t="s">
        <v>34</v>
      </c>
      <c r="D472" s="11"/>
      <c r="E472" s="11"/>
      <c r="F472" s="12" t="s">
        <v>35</v>
      </c>
      <c r="G472" s="11" t="n">
        <v>0</v>
      </c>
      <c r="H472" s="9"/>
    </row>
    <row r="473" customFormat="false" ht="29.85" hidden="false" customHeight="false" outlineLevel="0" collapsed="false">
      <c r="A473" s="18" t="s">
        <v>667</v>
      </c>
      <c r="B473" s="18" t="s">
        <v>38</v>
      </c>
      <c r="C473" s="17" t="s">
        <v>52</v>
      </c>
      <c r="D473" s="19" t="n">
        <v>15000</v>
      </c>
      <c r="E473" s="19" t="n">
        <v>15000</v>
      </c>
      <c r="F473" s="20" t="s">
        <v>47</v>
      </c>
      <c r="G473" s="20" t="n">
        <v>4</v>
      </c>
      <c r="H473" s="17"/>
    </row>
    <row r="474" customFormat="false" ht="29.85" hidden="false" customHeight="false" outlineLevel="0" collapsed="false">
      <c r="A474" s="18" t="s">
        <v>668</v>
      </c>
      <c r="B474" s="18" t="s">
        <v>38</v>
      </c>
      <c r="C474" s="18" t="s">
        <v>669</v>
      </c>
      <c r="D474" s="19" t="n">
        <v>15000</v>
      </c>
      <c r="E474" s="19" t="n">
        <v>30000</v>
      </c>
      <c r="F474" s="20" t="s">
        <v>47</v>
      </c>
      <c r="G474" s="20" t="n">
        <v>5</v>
      </c>
      <c r="H474" s="17"/>
    </row>
    <row r="475" customFormat="false" ht="29.85" hidden="false" customHeight="false" outlineLevel="0" collapsed="false">
      <c r="A475" s="14" t="s">
        <v>670</v>
      </c>
      <c r="B475" s="14" t="s">
        <v>38</v>
      </c>
      <c r="C475" s="13"/>
      <c r="D475" s="15"/>
      <c r="E475" s="15"/>
      <c r="F475" s="16" t="s">
        <v>39</v>
      </c>
      <c r="G475" s="15" t="n">
        <v>0</v>
      </c>
      <c r="H475" s="13"/>
    </row>
    <row r="476" customFormat="false" ht="15" hidden="false" customHeight="false" outlineLevel="0" collapsed="false">
      <c r="A476" s="10" t="s">
        <v>671</v>
      </c>
      <c r="B476" s="10" t="s">
        <v>132</v>
      </c>
      <c r="C476" s="10" t="s">
        <v>57</v>
      </c>
      <c r="D476" s="11"/>
      <c r="E476" s="11"/>
      <c r="F476" s="12" t="s">
        <v>35</v>
      </c>
      <c r="G476" s="11" t="n">
        <v>3</v>
      </c>
      <c r="H476" s="9"/>
    </row>
    <row r="477" customFormat="false" ht="29.85" hidden="false" customHeight="false" outlineLevel="0" collapsed="false">
      <c r="A477" s="18" t="s">
        <v>672</v>
      </c>
      <c r="B477" s="18" t="s">
        <v>132</v>
      </c>
      <c r="C477" s="17" t="s">
        <v>673</v>
      </c>
      <c r="D477" s="19" t="n">
        <v>2000</v>
      </c>
      <c r="E477" s="19" t="n">
        <v>2000</v>
      </c>
      <c r="F477" s="20" t="s">
        <v>47</v>
      </c>
      <c r="G477" s="20" t="n">
        <v>7</v>
      </c>
      <c r="H477" s="17"/>
    </row>
    <row r="478" customFormat="false" ht="29.85" hidden="false" customHeight="false" outlineLevel="0" collapsed="false">
      <c r="A478" s="10" t="s">
        <v>674</v>
      </c>
      <c r="B478" s="10" t="s">
        <v>132</v>
      </c>
      <c r="C478" s="10" t="s">
        <v>57</v>
      </c>
      <c r="D478" s="11"/>
      <c r="E478" s="11"/>
      <c r="F478" s="12" t="s">
        <v>35</v>
      </c>
      <c r="G478" s="11" t="n">
        <v>0</v>
      </c>
      <c r="H478" s="9"/>
    </row>
    <row r="479" customFormat="false" ht="15" hidden="false" customHeight="false" outlineLevel="0" collapsed="false">
      <c r="A479" s="18" t="s">
        <v>675</v>
      </c>
      <c r="B479" s="18" t="s">
        <v>132</v>
      </c>
      <c r="C479" s="17" t="s">
        <v>375</v>
      </c>
      <c r="D479" s="19" t="n">
        <v>10000</v>
      </c>
      <c r="E479" s="19" t="n">
        <v>10000</v>
      </c>
      <c r="F479" s="20" t="s">
        <v>47</v>
      </c>
      <c r="G479" s="20" t="n">
        <v>7</v>
      </c>
      <c r="H479" s="17"/>
    </row>
    <row r="480" customFormat="false" ht="15" hidden="false" customHeight="false" outlineLevel="0" collapsed="false">
      <c r="A480" s="18" t="s">
        <v>676</v>
      </c>
      <c r="B480" s="18" t="s">
        <v>132</v>
      </c>
      <c r="C480" s="17" t="s">
        <v>161</v>
      </c>
      <c r="D480" s="19" t="n">
        <v>5000</v>
      </c>
      <c r="E480" s="19" t="n">
        <v>5000</v>
      </c>
      <c r="F480" s="20" t="s">
        <v>47</v>
      </c>
      <c r="G480" s="20" t="n">
        <v>7</v>
      </c>
      <c r="H480" s="17"/>
    </row>
    <row r="481" customFormat="false" ht="15" hidden="false" customHeight="false" outlineLevel="0" collapsed="false">
      <c r="A481" s="18" t="s">
        <v>677</v>
      </c>
      <c r="B481" s="18" t="s">
        <v>132</v>
      </c>
      <c r="C481" s="17" t="s">
        <v>161</v>
      </c>
      <c r="D481" s="19" t="n">
        <v>5000</v>
      </c>
      <c r="E481" s="19" t="n">
        <v>5000</v>
      </c>
      <c r="F481" s="20" t="s">
        <v>47</v>
      </c>
      <c r="G481" s="20" t="n">
        <v>7</v>
      </c>
      <c r="H481" s="17"/>
    </row>
    <row r="482" customFormat="false" ht="15" hidden="false" customHeight="false" outlineLevel="0" collapsed="false">
      <c r="A482" s="10" t="s">
        <v>678</v>
      </c>
      <c r="B482" s="10" t="s">
        <v>132</v>
      </c>
      <c r="C482" s="10" t="s">
        <v>57</v>
      </c>
      <c r="D482" s="11"/>
      <c r="E482" s="11"/>
      <c r="F482" s="12" t="s">
        <v>35</v>
      </c>
      <c r="G482" s="11" t="n">
        <v>3</v>
      </c>
      <c r="H482" s="9"/>
    </row>
    <row r="483" customFormat="false" ht="29.85" hidden="false" customHeight="false" outlineLevel="0" collapsed="false">
      <c r="A483" s="14" t="s">
        <v>679</v>
      </c>
      <c r="B483" s="14" t="s">
        <v>566</v>
      </c>
      <c r="C483" s="13"/>
      <c r="D483" s="15"/>
      <c r="E483" s="15"/>
      <c r="F483" s="16" t="s">
        <v>39</v>
      </c>
      <c r="G483" s="15" t="n">
        <v>0</v>
      </c>
      <c r="H483" s="13"/>
    </row>
    <row r="484" customFormat="false" ht="29.85" hidden="false" customHeight="false" outlineLevel="0" collapsed="false">
      <c r="A484" s="14" t="s">
        <v>680</v>
      </c>
      <c r="B484" s="14" t="s">
        <v>346</v>
      </c>
      <c r="C484" s="13"/>
      <c r="D484" s="15"/>
      <c r="E484" s="15"/>
      <c r="F484" s="16" t="s">
        <v>39</v>
      </c>
      <c r="G484" s="15" t="n">
        <v>7</v>
      </c>
      <c r="H484" s="13"/>
    </row>
    <row r="485" customFormat="false" ht="29.85" hidden="false" customHeight="false" outlineLevel="0" collapsed="false">
      <c r="A485" s="14" t="s">
        <v>681</v>
      </c>
      <c r="B485" s="14" t="s">
        <v>346</v>
      </c>
      <c r="C485" s="13"/>
      <c r="D485" s="15"/>
      <c r="E485" s="15"/>
      <c r="F485" s="16" t="s">
        <v>39</v>
      </c>
      <c r="G485" s="15" t="n">
        <v>14</v>
      </c>
      <c r="H485" s="13"/>
    </row>
    <row r="486" customFormat="false" ht="29.85" hidden="false" customHeight="false" outlineLevel="0" collapsed="false">
      <c r="A486" s="14" t="s">
        <v>682</v>
      </c>
      <c r="B486" s="14" t="s">
        <v>346</v>
      </c>
      <c r="C486" s="13"/>
      <c r="D486" s="15"/>
      <c r="E486" s="15"/>
      <c r="F486" s="16" t="s">
        <v>39</v>
      </c>
      <c r="G486" s="15" t="n">
        <v>60</v>
      </c>
      <c r="H486" s="13"/>
    </row>
    <row r="487" customFormat="false" ht="29.85" hidden="false" customHeight="false" outlineLevel="0" collapsed="false">
      <c r="A487" s="18" t="s">
        <v>683</v>
      </c>
      <c r="B487" s="18" t="s">
        <v>109</v>
      </c>
      <c r="C487" s="17" t="s">
        <v>111</v>
      </c>
      <c r="D487" s="19" t="n">
        <v>3000</v>
      </c>
      <c r="E487" s="19" t="n">
        <v>3000</v>
      </c>
      <c r="F487" s="20" t="s">
        <v>47</v>
      </c>
      <c r="G487" s="20" t="n">
        <v>5</v>
      </c>
      <c r="H487" s="17"/>
    </row>
    <row r="488" customFormat="false" ht="15" hidden="false" customHeight="false" outlineLevel="0" collapsed="false">
      <c r="A488" s="18" t="s">
        <v>684</v>
      </c>
      <c r="B488" s="18" t="s">
        <v>109</v>
      </c>
      <c r="C488" s="17" t="s">
        <v>685</v>
      </c>
      <c r="D488" s="19" t="n">
        <v>1400</v>
      </c>
      <c r="E488" s="19" t="n">
        <v>1400</v>
      </c>
      <c r="F488" s="20" t="s">
        <v>47</v>
      </c>
      <c r="G488" s="20" t="n">
        <v>3</v>
      </c>
      <c r="H488" s="17"/>
    </row>
    <row r="489" customFormat="false" ht="29.85" hidden="false" customHeight="false" outlineLevel="0" collapsed="false">
      <c r="A489" s="18" t="s">
        <v>686</v>
      </c>
      <c r="B489" s="18" t="s">
        <v>109</v>
      </c>
      <c r="C489" s="18" t="s">
        <v>687</v>
      </c>
      <c r="D489" s="19" t="n">
        <v>2000</v>
      </c>
      <c r="E489" s="19" t="n">
        <v>14000</v>
      </c>
      <c r="F489" s="20" t="s">
        <v>47</v>
      </c>
      <c r="G489" s="20" t="n">
        <v>20</v>
      </c>
      <c r="H489" s="17"/>
    </row>
    <row r="490" customFormat="false" ht="15" hidden="false" customHeight="false" outlineLevel="0" collapsed="false">
      <c r="A490" s="14" t="s">
        <v>688</v>
      </c>
      <c r="B490" s="14" t="s">
        <v>109</v>
      </c>
      <c r="C490" s="13"/>
      <c r="D490" s="15"/>
      <c r="E490" s="15"/>
      <c r="F490" s="16" t="s">
        <v>39</v>
      </c>
      <c r="G490" s="15" t="n">
        <v>0</v>
      </c>
      <c r="H490" s="13"/>
    </row>
    <row r="491" customFormat="false" ht="29.85" hidden="false" customHeight="false" outlineLevel="0" collapsed="false">
      <c r="A491" s="18" t="s">
        <v>689</v>
      </c>
      <c r="B491" s="18" t="s">
        <v>109</v>
      </c>
      <c r="C491" s="17" t="s">
        <v>685</v>
      </c>
      <c r="D491" s="19" t="n">
        <v>1400</v>
      </c>
      <c r="E491" s="19" t="n">
        <v>1400</v>
      </c>
      <c r="F491" s="20" t="s">
        <v>47</v>
      </c>
      <c r="G491" s="20" t="n">
        <v>5</v>
      </c>
      <c r="H491" s="17"/>
    </row>
    <row r="492" customFormat="false" ht="29.85" hidden="false" customHeight="false" outlineLevel="0" collapsed="false">
      <c r="A492" s="18" t="s">
        <v>690</v>
      </c>
      <c r="B492" s="18" t="s">
        <v>109</v>
      </c>
      <c r="C492" s="18" t="s">
        <v>691</v>
      </c>
      <c r="D492" s="19" t="n">
        <v>1400</v>
      </c>
      <c r="E492" s="19" t="n">
        <v>5000</v>
      </c>
      <c r="F492" s="20" t="s">
        <v>47</v>
      </c>
      <c r="G492" s="20" t="n">
        <v>7</v>
      </c>
      <c r="H492" s="17"/>
    </row>
    <row r="493" customFormat="false" ht="15" hidden="false" customHeight="false" outlineLevel="0" collapsed="false">
      <c r="A493" s="14" t="s">
        <v>692</v>
      </c>
      <c r="B493" s="14" t="s">
        <v>409</v>
      </c>
      <c r="C493" s="13"/>
      <c r="D493" s="15"/>
      <c r="E493" s="15"/>
      <c r="F493" s="16" t="s">
        <v>39</v>
      </c>
      <c r="G493" s="15" t="n">
        <v>10</v>
      </c>
      <c r="H493" s="13"/>
    </row>
    <row r="494" customFormat="false" ht="15" hidden="false" customHeight="false" outlineLevel="0" collapsed="false">
      <c r="A494" s="10" t="s">
        <v>693</v>
      </c>
      <c r="B494" s="10" t="s">
        <v>45</v>
      </c>
      <c r="C494" s="10" t="s">
        <v>57</v>
      </c>
      <c r="D494" s="11"/>
      <c r="E494" s="11"/>
      <c r="F494" s="12" t="s">
        <v>35</v>
      </c>
      <c r="G494" s="11" t="n">
        <v>0</v>
      </c>
      <c r="H494" s="9"/>
    </row>
    <row r="495" customFormat="false" ht="29.85" hidden="false" customHeight="false" outlineLevel="0" collapsed="false">
      <c r="A495" s="14" t="s">
        <v>694</v>
      </c>
      <c r="B495" s="14" t="s">
        <v>219</v>
      </c>
      <c r="C495" s="13"/>
      <c r="D495" s="15"/>
      <c r="E495" s="15"/>
      <c r="F495" s="16" t="s">
        <v>39</v>
      </c>
      <c r="G495" s="15" t="n">
        <v>0</v>
      </c>
      <c r="H495" s="13"/>
    </row>
    <row r="496" customFormat="false" ht="29.85" hidden="false" customHeight="false" outlineLevel="0" collapsed="false">
      <c r="A496" s="18" t="s">
        <v>695</v>
      </c>
      <c r="B496" s="18" t="s">
        <v>219</v>
      </c>
      <c r="C496" s="18" t="s">
        <v>696</v>
      </c>
      <c r="D496" s="19" t="n">
        <v>10000</v>
      </c>
      <c r="E496" s="19" t="n">
        <v>20000</v>
      </c>
      <c r="F496" s="20" t="s">
        <v>47</v>
      </c>
      <c r="G496" s="20" t="n">
        <v>7</v>
      </c>
      <c r="H496" s="17"/>
    </row>
    <row r="497" customFormat="false" ht="29.85" hidden="false" customHeight="false" outlineLevel="0" collapsed="false">
      <c r="A497" s="14" t="s">
        <v>697</v>
      </c>
      <c r="B497" s="14" t="s">
        <v>219</v>
      </c>
      <c r="C497" s="13"/>
      <c r="D497" s="15"/>
      <c r="E497" s="15"/>
      <c r="F497" s="16" t="s">
        <v>39</v>
      </c>
      <c r="G497" s="15" t="n">
        <v>1</v>
      </c>
      <c r="H497" s="13"/>
    </row>
    <row r="498" customFormat="false" ht="29.85" hidden="false" customHeight="false" outlineLevel="0" collapsed="false">
      <c r="A498" s="18" t="s">
        <v>698</v>
      </c>
      <c r="B498" s="18" t="s">
        <v>219</v>
      </c>
      <c r="C498" s="18" t="s">
        <v>699</v>
      </c>
      <c r="D498" s="19" t="n">
        <v>10000</v>
      </c>
      <c r="E498" s="19" t="n">
        <v>20000</v>
      </c>
      <c r="F498" s="20" t="s">
        <v>47</v>
      </c>
      <c r="G498" s="20" t="n">
        <v>3</v>
      </c>
      <c r="H498" s="17"/>
    </row>
    <row r="499" customFormat="false" ht="29.85" hidden="false" customHeight="false" outlineLevel="0" collapsed="false">
      <c r="A499" s="18" t="s">
        <v>700</v>
      </c>
      <c r="B499" s="18" t="s">
        <v>219</v>
      </c>
      <c r="C499" s="17" t="s">
        <v>161</v>
      </c>
      <c r="D499" s="19" t="n">
        <v>5000</v>
      </c>
      <c r="E499" s="19" t="n">
        <v>5000</v>
      </c>
      <c r="F499" s="20" t="s">
        <v>47</v>
      </c>
      <c r="G499" s="20" t="n">
        <v>3</v>
      </c>
      <c r="H499" s="17"/>
    </row>
    <row r="500" customFormat="false" ht="29.85" hidden="false" customHeight="false" outlineLevel="0" collapsed="false">
      <c r="A500" s="14" t="s">
        <v>701</v>
      </c>
      <c r="B500" s="14" t="s">
        <v>219</v>
      </c>
      <c r="C500" s="13"/>
      <c r="D500" s="15"/>
      <c r="E500" s="15"/>
      <c r="F500" s="16" t="s">
        <v>39</v>
      </c>
      <c r="G500" s="15" t="n">
        <v>1</v>
      </c>
      <c r="H500" s="13"/>
    </row>
    <row r="501" customFormat="false" ht="15" hidden="false" customHeight="false" outlineLevel="0" collapsed="false">
      <c r="A501" s="14" t="s">
        <v>702</v>
      </c>
      <c r="B501" s="14" t="s">
        <v>224</v>
      </c>
      <c r="C501" s="13"/>
      <c r="D501" s="15"/>
      <c r="E501" s="15"/>
      <c r="F501" s="16" t="s">
        <v>39</v>
      </c>
      <c r="G501" s="15" t="n">
        <v>120</v>
      </c>
      <c r="H501" s="13"/>
    </row>
    <row r="502" customFormat="false" ht="29.85" hidden="false" customHeight="false" outlineLevel="0" collapsed="false">
      <c r="A502" s="14" t="s">
        <v>703</v>
      </c>
      <c r="B502" s="14" t="s">
        <v>41</v>
      </c>
      <c r="C502" s="13"/>
      <c r="D502" s="15"/>
      <c r="E502" s="15"/>
      <c r="F502" s="16" t="s">
        <v>39</v>
      </c>
      <c r="G502" s="15" t="n">
        <v>2</v>
      </c>
      <c r="H502" s="13"/>
    </row>
    <row r="503" customFormat="false" ht="29.85" hidden="false" customHeight="false" outlineLevel="0" collapsed="false">
      <c r="A503" s="14" t="s">
        <v>704</v>
      </c>
      <c r="B503" s="14" t="s">
        <v>41</v>
      </c>
      <c r="C503" s="13"/>
      <c r="D503" s="15"/>
      <c r="E503" s="15"/>
      <c r="F503" s="16" t="s">
        <v>39</v>
      </c>
      <c r="G503" s="15" t="n">
        <v>5</v>
      </c>
      <c r="H503" s="13"/>
    </row>
    <row r="504" customFormat="false" ht="29.85" hidden="false" customHeight="false" outlineLevel="0" collapsed="false">
      <c r="A504" s="14" t="s">
        <v>705</v>
      </c>
      <c r="B504" s="14" t="s">
        <v>41</v>
      </c>
      <c r="C504" s="13"/>
      <c r="D504" s="15"/>
      <c r="E504" s="15"/>
      <c r="F504" s="16" t="s">
        <v>39</v>
      </c>
      <c r="G504" s="15" t="n">
        <v>7</v>
      </c>
      <c r="H504" s="13"/>
    </row>
    <row r="505" customFormat="false" ht="29.85" hidden="false" customHeight="false" outlineLevel="0" collapsed="false">
      <c r="A505" s="14" t="s">
        <v>706</v>
      </c>
      <c r="B505" s="14" t="s">
        <v>41</v>
      </c>
      <c r="C505" s="13"/>
      <c r="D505" s="15"/>
      <c r="E505" s="15"/>
      <c r="F505" s="16" t="s">
        <v>39</v>
      </c>
      <c r="G505" s="15" t="n">
        <v>5</v>
      </c>
      <c r="H505" s="13"/>
    </row>
    <row r="506" customFormat="false" ht="29.85" hidden="false" customHeight="false" outlineLevel="0" collapsed="false">
      <c r="A506" s="14" t="s">
        <v>707</v>
      </c>
      <c r="B506" s="14" t="s">
        <v>41</v>
      </c>
      <c r="C506" s="13"/>
      <c r="D506" s="15"/>
      <c r="E506" s="15"/>
      <c r="F506" s="16" t="s">
        <v>39</v>
      </c>
      <c r="G506" s="15" t="n">
        <v>5</v>
      </c>
      <c r="H506" s="13"/>
    </row>
    <row r="507" customFormat="false" ht="15" hidden="false" customHeight="false" outlineLevel="0" collapsed="false">
      <c r="A507" s="10" t="s">
        <v>708</v>
      </c>
      <c r="B507" s="10" t="s">
        <v>82</v>
      </c>
      <c r="C507" s="10" t="s">
        <v>57</v>
      </c>
      <c r="D507" s="11"/>
      <c r="E507" s="11"/>
      <c r="F507" s="12" t="s">
        <v>35</v>
      </c>
      <c r="G507" s="11" t="n">
        <v>10</v>
      </c>
      <c r="H507" s="9"/>
    </row>
    <row r="508" customFormat="false" ht="15" hidden="false" customHeight="false" outlineLevel="0" collapsed="false">
      <c r="A508" s="14" t="s">
        <v>709</v>
      </c>
      <c r="B508" s="14" t="s">
        <v>64</v>
      </c>
      <c r="C508" s="13"/>
      <c r="D508" s="15"/>
      <c r="E508" s="15"/>
      <c r="F508" s="16" t="s">
        <v>39</v>
      </c>
      <c r="G508" s="15" t="n">
        <v>10</v>
      </c>
      <c r="H508" s="13"/>
    </row>
    <row r="509" customFormat="false" ht="29.85" hidden="false" customHeight="false" outlineLevel="0" collapsed="false">
      <c r="A509" s="18" t="s">
        <v>710</v>
      </c>
      <c r="B509" s="18" t="s">
        <v>67</v>
      </c>
      <c r="C509" s="18" t="s">
        <v>711</v>
      </c>
      <c r="D509" s="20"/>
      <c r="E509" s="20"/>
      <c r="F509" s="20" t="s">
        <v>47</v>
      </c>
      <c r="G509" s="20" t="n">
        <v>5</v>
      </c>
      <c r="H509" s="17"/>
    </row>
    <row r="510" customFormat="false" ht="29.85" hidden="false" customHeight="false" outlineLevel="0" collapsed="false">
      <c r="A510" s="18" t="s">
        <v>712</v>
      </c>
      <c r="B510" s="18" t="s">
        <v>67</v>
      </c>
      <c r="C510" s="18" t="s">
        <v>713</v>
      </c>
      <c r="D510" s="20"/>
      <c r="E510" s="20"/>
      <c r="F510" s="20" t="s">
        <v>47</v>
      </c>
      <c r="G510" s="20" t="n">
        <v>10</v>
      </c>
      <c r="H510" s="17"/>
    </row>
    <row r="511" customFormat="false" ht="29.85" hidden="false" customHeight="false" outlineLevel="0" collapsed="false">
      <c r="A511" s="18" t="s">
        <v>714</v>
      </c>
      <c r="B511" s="18" t="s">
        <v>67</v>
      </c>
      <c r="C511" s="18" t="s">
        <v>711</v>
      </c>
      <c r="D511" s="20"/>
      <c r="E511" s="20"/>
      <c r="F511" s="20" t="s">
        <v>47</v>
      </c>
      <c r="G511" s="20" t="n">
        <v>5</v>
      </c>
      <c r="H511" s="17"/>
    </row>
    <row r="512" customFormat="false" ht="29.85" hidden="false" customHeight="false" outlineLevel="0" collapsed="false">
      <c r="A512" s="18" t="s">
        <v>715</v>
      </c>
      <c r="B512" s="18" t="s">
        <v>67</v>
      </c>
      <c r="C512" s="18" t="s">
        <v>711</v>
      </c>
      <c r="D512" s="20"/>
      <c r="E512" s="20"/>
      <c r="F512" s="20" t="s">
        <v>47</v>
      </c>
      <c r="G512" s="20" t="n">
        <v>10</v>
      </c>
      <c r="H512" s="17"/>
    </row>
    <row r="513" customFormat="false" ht="29.85" hidden="false" customHeight="false" outlineLevel="0" collapsed="false">
      <c r="A513" s="18" t="s">
        <v>716</v>
      </c>
      <c r="B513" s="18" t="s">
        <v>67</v>
      </c>
      <c r="C513" s="18" t="s">
        <v>711</v>
      </c>
      <c r="D513" s="20"/>
      <c r="E513" s="20"/>
      <c r="F513" s="20" t="s">
        <v>47</v>
      </c>
      <c r="G513" s="20" t="n">
        <v>10</v>
      </c>
      <c r="H513" s="17"/>
    </row>
    <row r="514" customFormat="false" ht="15" hidden="false" customHeight="false" outlineLevel="0" collapsed="false">
      <c r="A514" s="10" t="s">
        <v>717</v>
      </c>
      <c r="B514" s="10" t="s">
        <v>33</v>
      </c>
      <c r="C514" s="10" t="s">
        <v>57</v>
      </c>
      <c r="D514" s="11"/>
      <c r="E514" s="11"/>
      <c r="F514" s="12" t="s">
        <v>35</v>
      </c>
      <c r="G514" s="11" t="n">
        <v>20</v>
      </c>
      <c r="H514" s="9"/>
    </row>
    <row r="515" customFormat="false" ht="15" hidden="false" customHeight="false" outlineLevel="0" collapsed="false">
      <c r="A515" s="10" t="s">
        <v>718</v>
      </c>
      <c r="B515" s="10" t="s">
        <v>67</v>
      </c>
      <c r="C515" s="10" t="s">
        <v>57</v>
      </c>
      <c r="D515" s="11"/>
      <c r="E515" s="11"/>
      <c r="F515" s="12" t="s">
        <v>35</v>
      </c>
      <c r="G515" s="11" t="n">
        <v>4</v>
      </c>
      <c r="H515" s="9"/>
    </row>
    <row r="516" customFormat="false" ht="29.85" hidden="false" customHeight="false" outlineLevel="0" collapsed="false">
      <c r="A516" s="18" t="s">
        <v>719</v>
      </c>
      <c r="B516" s="18" t="s">
        <v>67</v>
      </c>
      <c r="C516" s="18" t="s">
        <v>720</v>
      </c>
      <c r="D516" s="20"/>
      <c r="E516" s="20"/>
      <c r="F516" s="20" t="s">
        <v>47</v>
      </c>
      <c r="G516" s="20" t="n">
        <v>7</v>
      </c>
      <c r="H516" s="17"/>
    </row>
    <row r="517" customFormat="false" ht="29.85" hidden="false" customHeight="false" outlineLevel="0" collapsed="false">
      <c r="A517" s="18" t="s">
        <v>721</v>
      </c>
      <c r="B517" s="18" t="s">
        <v>67</v>
      </c>
      <c r="C517" s="18" t="s">
        <v>720</v>
      </c>
      <c r="D517" s="20"/>
      <c r="E517" s="20"/>
      <c r="F517" s="20" t="s">
        <v>47</v>
      </c>
      <c r="G517" s="20" t="n">
        <v>7</v>
      </c>
      <c r="H517" s="17"/>
    </row>
    <row r="518" customFormat="false" ht="29.85" hidden="false" customHeight="false" outlineLevel="0" collapsed="false">
      <c r="A518" s="18" t="s">
        <v>722</v>
      </c>
      <c r="B518" s="18" t="s">
        <v>67</v>
      </c>
      <c r="C518" s="18" t="s">
        <v>720</v>
      </c>
      <c r="D518" s="20"/>
      <c r="E518" s="20"/>
      <c r="F518" s="20" t="s">
        <v>47</v>
      </c>
      <c r="G518" s="20" t="n">
        <v>7</v>
      </c>
      <c r="H518" s="17"/>
    </row>
    <row r="519" customFormat="false" ht="15" hidden="false" customHeight="false" outlineLevel="0" collapsed="false">
      <c r="A519" s="10" t="s">
        <v>723</v>
      </c>
      <c r="B519" s="10" t="s">
        <v>33</v>
      </c>
      <c r="C519" s="10" t="s">
        <v>57</v>
      </c>
      <c r="D519" s="11"/>
      <c r="E519" s="11"/>
      <c r="F519" s="12" t="s">
        <v>35</v>
      </c>
      <c r="G519" s="11" t="n">
        <v>7</v>
      </c>
      <c r="H519" s="9"/>
    </row>
    <row r="520" customFormat="false" ht="29.85" hidden="false" customHeight="false" outlineLevel="0" collapsed="false">
      <c r="A520" s="18" t="s">
        <v>724</v>
      </c>
      <c r="B520" s="18" t="s">
        <v>38</v>
      </c>
      <c r="C520" s="17" t="s">
        <v>375</v>
      </c>
      <c r="D520" s="19" t="n">
        <v>10000</v>
      </c>
      <c r="E520" s="19" t="n">
        <v>10000</v>
      </c>
      <c r="F520" s="20" t="s">
        <v>47</v>
      </c>
      <c r="G520" s="20" t="n">
        <v>3</v>
      </c>
      <c r="H520" s="17"/>
    </row>
    <row r="521" customFormat="false" ht="29.85" hidden="false" customHeight="false" outlineLevel="0" collapsed="false">
      <c r="A521" s="18" t="s">
        <v>725</v>
      </c>
      <c r="B521" s="18" t="s">
        <v>38</v>
      </c>
      <c r="C521" s="17" t="s">
        <v>161</v>
      </c>
      <c r="D521" s="19" t="n">
        <v>5000</v>
      </c>
      <c r="E521" s="19" t="n">
        <v>5000</v>
      </c>
      <c r="F521" s="20" t="s">
        <v>47</v>
      </c>
      <c r="G521" s="20" t="n">
        <v>3</v>
      </c>
      <c r="H521" s="17"/>
    </row>
    <row r="522" customFormat="false" ht="15" hidden="false" customHeight="false" outlineLevel="0" collapsed="false">
      <c r="A522" s="18" t="s">
        <v>726</v>
      </c>
      <c r="B522" s="18" t="s">
        <v>109</v>
      </c>
      <c r="C522" s="17" t="s">
        <v>673</v>
      </c>
      <c r="D522" s="19" t="n">
        <v>2000</v>
      </c>
      <c r="E522" s="19" t="n">
        <v>2000</v>
      </c>
      <c r="F522" s="20" t="s">
        <v>47</v>
      </c>
      <c r="G522" s="20" t="n">
        <v>3</v>
      </c>
      <c r="H522" s="17"/>
    </row>
    <row r="523" customFormat="false" ht="15" hidden="false" customHeight="false" outlineLevel="0" collapsed="false">
      <c r="A523" s="18" t="s">
        <v>727</v>
      </c>
      <c r="B523" s="18" t="s">
        <v>124</v>
      </c>
      <c r="C523" s="17" t="s">
        <v>728</v>
      </c>
      <c r="D523" s="19" t="n">
        <v>9000</v>
      </c>
      <c r="E523" s="19" t="n">
        <v>9000</v>
      </c>
      <c r="F523" s="20" t="s">
        <v>47</v>
      </c>
      <c r="G523" s="20" t="n">
        <v>3</v>
      </c>
      <c r="H523" s="17"/>
    </row>
    <row r="524" customFormat="false" ht="15" hidden="false" customHeight="false" outlineLevel="0" collapsed="false">
      <c r="A524" s="18" t="s">
        <v>729</v>
      </c>
      <c r="B524" s="18" t="s">
        <v>124</v>
      </c>
      <c r="C524" s="18" t="s">
        <v>730</v>
      </c>
      <c r="D524" s="19" t="n">
        <v>9000</v>
      </c>
      <c r="E524" s="19" t="n">
        <v>20000</v>
      </c>
      <c r="F524" s="20" t="s">
        <v>47</v>
      </c>
      <c r="G524" s="20" t="n">
        <v>3</v>
      </c>
      <c r="H524" s="17"/>
    </row>
    <row r="525" customFormat="false" ht="15" hidden="false" customHeight="false" outlineLevel="0" collapsed="false">
      <c r="A525" s="14" t="s">
        <v>731</v>
      </c>
      <c r="B525" s="14" t="s">
        <v>124</v>
      </c>
      <c r="C525" s="13"/>
      <c r="D525" s="15"/>
      <c r="E525" s="15"/>
      <c r="F525" s="16" t="s">
        <v>39</v>
      </c>
      <c r="G525" s="15" t="n">
        <v>0</v>
      </c>
      <c r="H525" s="13"/>
    </row>
    <row r="526" customFormat="false" ht="15" hidden="false" customHeight="false" outlineLevel="0" collapsed="false">
      <c r="A526" s="18" t="s">
        <v>732</v>
      </c>
      <c r="B526" s="18" t="s">
        <v>124</v>
      </c>
      <c r="C526" s="17" t="s">
        <v>126</v>
      </c>
      <c r="D526" s="19" t="n">
        <v>28000</v>
      </c>
      <c r="E526" s="19" t="n">
        <v>28000</v>
      </c>
      <c r="F526" s="20" t="s">
        <v>47</v>
      </c>
      <c r="G526" s="20" t="n">
        <v>3</v>
      </c>
      <c r="H526" s="17"/>
    </row>
    <row r="527" customFormat="false" ht="15" hidden="false" customHeight="false" outlineLevel="0" collapsed="false">
      <c r="A527" s="14" t="s">
        <v>733</v>
      </c>
      <c r="B527" s="14" t="s">
        <v>45</v>
      </c>
      <c r="C527" s="13"/>
      <c r="D527" s="15"/>
      <c r="E527" s="15"/>
      <c r="F527" s="16" t="s">
        <v>39</v>
      </c>
      <c r="G527" s="15" t="n">
        <v>0</v>
      </c>
      <c r="H527" s="13"/>
    </row>
    <row r="528" customFormat="false" ht="15" hidden="false" customHeight="false" outlineLevel="0" collapsed="false">
      <c r="A528" s="14" t="s">
        <v>734</v>
      </c>
      <c r="B528" s="14" t="s">
        <v>49</v>
      </c>
      <c r="C528" s="13"/>
      <c r="D528" s="15"/>
      <c r="E528" s="15"/>
      <c r="F528" s="16" t="s">
        <v>39</v>
      </c>
      <c r="G528" s="15" t="n">
        <v>0</v>
      </c>
      <c r="H528" s="13"/>
    </row>
    <row r="529" customFormat="false" ht="15" hidden="false" customHeight="false" outlineLevel="0" collapsed="false">
      <c r="A529" s="18" t="s">
        <v>735</v>
      </c>
      <c r="B529" s="18" t="s">
        <v>282</v>
      </c>
      <c r="C529" s="17" t="s">
        <v>226</v>
      </c>
      <c r="D529" s="19" t="n">
        <v>15000</v>
      </c>
      <c r="E529" s="19" t="n">
        <v>15000</v>
      </c>
      <c r="F529" s="20" t="s">
        <v>47</v>
      </c>
      <c r="G529" s="20" t="n">
        <v>3</v>
      </c>
      <c r="H529" s="17"/>
    </row>
    <row r="530" customFormat="false" ht="29.85" hidden="false" customHeight="false" outlineLevel="0" collapsed="false">
      <c r="A530" s="18" t="s">
        <v>736</v>
      </c>
      <c r="B530" s="18" t="s">
        <v>282</v>
      </c>
      <c r="C530" s="18" t="s">
        <v>737</v>
      </c>
      <c r="D530" s="19" t="n">
        <v>30000</v>
      </c>
      <c r="E530" s="19" t="n">
        <v>50000</v>
      </c>
      <c r="F530" s="20" t="s">
        <v>47</v>
      </c>
      <c r="G530" s="20" t="n">
        <v>3</v>
      </c>
      <c r="H530" s="17"/>
    </row>
    <row r="531" customFormat="false" ht="15" hidden="false" customHeight="false" outlineLevel="0" collapsed="false">
      <c r="A531" s="10" t="s">
        <v>738</v>
      </c>
      <c r="B531" s="10" t="s">
        <v>82</v>
      </c>
      <c r="C531" s="10" t="s">
        <v>57</v>
      </c>
      <c r="D531" s="11"/>
      <c r="E531" s="11"/>
      <c r="F531" s="12" t="s">
        <v>35</v>
      </c>
      <c r="G531" s="11" t="n">
        <v>3</v>
      </c>
      <c r="H531" s="9"/>
    </row>
    <row r="532" customFormat="false" ht="15" hidden="false" customHeight="false" outlineLevel="0" collapsed="false">
      <c r="A532" s="18" t="s">
        <v>739</v>
      </c>
      <c r="B532" s="18" t="s">
        <v>740</v>
      </c>
      <c r="C532" s="17" t="s">
        <v>339</v>
      </c>
      <c r="D532" s="19" t="n">
        <v>20000</v>
      </c>
      <c r="E532" s="19" t="n">
        <v>20000</v>
      </c>
      <c r="F532" s="20" t="s">
        <v>47</v>
      </c>
      <c r="G532" s="20" t="n">
        <v>3</v>
      </c>
      <c r="H532" s="17"/>
    </row>
    <row r="533" customFormat="false" ht="29.85" hidden="false" customHeight="false" outlineLevel="0" collapsed="false">
      <c r="A533" s="18" t="s">
        <v>741</v>
      </c>
      <c r="B533" s="18" t="s">
        <v>219</v>
      </c>
      <c r="C533" s="17" t="s">
        <v>161</v>
      </c>
      <c r="D533" s="19" t="n">
        <v>5000</v>
      </c>
      <c r="E533" s="19" t="n">
        <v>5000</v>
      </c>
      <c r="F533" s="20" t="s">
        <v>47</v>
      </c>
      <c r="G533" s="20" t="n">
        <v>3</v>
      </c>
      <c r="H533" s="17"/>
    </row>
    <row r="534" customFormat="false" ht="29.85" hidden="false" customHeight="false" outlineLevel="0" collapsed="false">
      <c r="A534" s="18" t="s">
        <v>742</v>
      </c>
      <c r="B534" s="18" t="s">
        <v>219</v>
      </c>
      <c r="C534" s="17" t="s">
        <v>339</v>
      </c>
      <c r="D534" s="19" t="n">
        <v>20000</v>
      </c>
      <c r="E534" s="19" t="n">
        <v>20000</v>
      </c>
      <c r="F534" s="20" t="s">
        <v>47</v>
      </c>
      <c r="G534" s="20" t="n">
        <v>3</v>
      </c>
      <c r="H534" s="17"/>
    </row>
    <row r="535" customFormat="false" ht="29.85" hidden="false" customHeight="false" outlineLevel="0" collapsed="false">
      <c r="A535" s="14" t="s">
        <v>743</v>
      </c>
      <c r="B535" s="14" t="s">
        <v>219</v>
      </c>
      <c r="C535" s="13"/>
      <c r="D535" s="15"/>
      <c r="E535" s="15"/>
      <c r="F535" s="16" t="s">
        <v>39</v>
      </c>
      <c r="G535" s="15" t="n">
        <v>3</v>
      </c>
      <c r="H535" s="13"/>
    </row>
    <row r="536" customFormat="false" ht="15" hidden="false" customHeight="false" outlineLevel="0" collapsed="false">
      <c r="A536" s="10" t="s">
        <v>744</v>
      </c>
      <c r="B536" s="10" t="s">
        <v>132</v>
      </c>
      <c r="C536" s="10" t="s">
        <v>57</v>
      </c>
      <c r="D536" s="11"/>
      <c r="E536" s="11"/>
      <c r="F536" s="12" t="s">
        <v>35</v>
      </c>
      <c r="G536" s="11" t="n">
        <v>7</v>
      </c>
      <c r="H536" s="9"/>
    </row>
    <row r="537" customFormat="false" ht="15" hidden="false" customHeight="false" outlineLevel="0" collapsed="false">
      <c r="A537" s="10" t="s">
        <v>745</v>
      </c>
      <c r="B537" s="10" t="s">
        <v>132</v>
      </c>
      <c r="C537" s="10" t="s">
        <v>57</v>
      </c>
      <c r="D537" s="11"/>
      <c r="E537" s="11"/>
      <c r="F537" s="12" t="s">
        <v>35</v>
      </c>
      <c r="G537" s="11" t="n">
        <v>3</v>
      </c>
      <c r="H537" s="9"/>
    </row>
    <row r="538" customFormat="false" ht="15" hidden="false" customHeight="false" outlineLevel="0" collapsed="false">
      <c r="A538" s="14" t="s">
        <v>746</v>
      </c>
      <c r="B538" s="14" t="s">
        <v>496</v>
      </c>
      <c r="C538" s="13"/>
      <c r="D538" s="15"/>
      <c r="E538" s="15"/>
      <c r="F538" s="16" t="s">
        <v>39</v>
      </c>
      <c r="G538" s="15" t="n">
        <v>10</v>
      </c>
      <c r="H538" s="13"/>
    </row>
    <row r="539" customFormat="false" ht="58.2" hidden="false" customHeight="false" outlineLevel="0" collapsed="false">
      <c r="A539" s="18" t="s">
        <v>747</v>
      </c>
      <c r="B539" s="18" t="s">
        <v>132</v>
      </c>
      <c r="C539" s="18" t="s">
        <v>748</v>
      </c>
      <c r="D539" s="19" t="n">
        <v>20000</v>
      </c>
      <c r="E539" s="19" t="n">
        <v>40000</v>
      </c>
      <c r="F539" s="20" t="s">
        <v>47</v>
      </c>
      <c r="G539" s="20" t="n">
        <v>10</v>
      </c>
      <c r="H539" s="17"/>
    </row>
    <row r="540" customFormat="false" ht="58.2" hidden="false" customHeight="false" outlineLevel="0" collapsed="false">
      <c r="A540" s="18" t="s">
        <v>749</v>
      </c>
      <c r="B540" s="18" t="s">
        <v>132</v>
      </c>
      <c r="C540" s="18" t="s">
        <v>750</v>
      </c>
      <c r="D540" s="19" t="n">
        <v>40000</v>
      </c>
      <c r="E540" s="19" t="n">
        <v>100000</v>
      </c>
      <c r="F540" s="20" t="s">
        <v>47</v>
      </c>
      <c r="G540" s="20" t="n">
        <v>10</v>
      </c>
      <c r="H540" s="17"/>
    </row>
    <row r="541" customFormat="false" ht="15" hidden="false" customHeight="false" outlineLevel="0" collapsed="false">
      <c r="A541" s="10" t="s">
        <v>751</v>
      </c>
      <c r="B541" s="10" t="s">
        <v>132</v>
      </c>
      <c r="C541" s="10" t="s">
        <v>57</v>
      </c>
      <c r="D541" s="11"/>
      <c r="E541" s="11"/>
      <c r="F541" s="12" t="s">
        <v>35</v>
      </c>
      <c r="G541" s="11" t="n">
        <v>3</v>
      </c>
      <c r="H541" s="9"/>
    </row>
    <row r="542" customFormat="false" ht="15" hidden="false" customHeight="false" outlineLevel="0" collapsed="false">
      <c r="A542" s="10" t="s">
        <v>752</v>
      </c>
      <c r="B542" s="10" t="s">
        <v>132</v>
      </c>
      <c r="C542" s="10" t="s">
        <v>57</v>
      </c>
      <c r="D542" s="11"/>
      <c r="E542" s="11"/>
      <c r="F542" s="12" t="s">
        <v>35</v>
      </c>
      <c r="G542" s="11" t="n">
        <v>7</v>
      </c>
      <c r="H542" s="9"/>
    </row>
    <row r="543" customFormat="false" ht="15" hidden="false" customHeight="false" outlineLevel="0" collapsed="false">
      <c r="A543" s="18" t="s">
        <v>753</v>
      </c>
      <c r="B543" s="17"/>
      <c r="C543" s="18" t="s">
        <v>754</v>
      </c>
      <c r="D543" s="19" t="n">
        <v>2400</v>
      </c>
      <c r="E543" s="19" t="n">
        <v>2400</v>
      </c>
      <c r="F543" s="20" t="s">
        <v>47</v>
      </c>
      <c r="G543" s="20" t="n">
        <v>7</v>
      </c>
      <c r="H543" s="17"/>
    </row>
    <row r="544" customFormat="false" ht="15" hidden="false" customHeight="false" outlineLevel="0" collapsed="false">
      <c r="A544" s="10" t="s">
        <v>755</v>
      </c>
      <c r="B544" s="10" t="s">
        <v>132</v>
      </c>
      <c r="C544" s="10" t="s">
        <v>34</v>
      </c>
      <c r="D544" s="11"/>
      <c r="E544" s="11"/>
      <c r="F544" s="12" t="s">
        <v>35</v>
      </c>
      <c r="G544" s="11" t="n">
        <v>3</v>
      </c>
      <c r="H544" s="9"/>
    </row>
    <row r="545" customFormat="false" ht="15" hidden="false" customHeight="false" outlineLevel="0" collapsed="false">
      <c r="A545" s="18" t="s">
        <v>756</v>
      </c>
      <c r="B545" s="18" t="s">
        <v>132</v>
      </c>
      <c r="C545" s="18" t="s">
        <v>757</v>
      </c>
      <c r="D545" s="19" t="n">
        <v>4000</v>
      </c>
      <c r="E545" s="19" t="n">
        <v>5000</v>
      </c>
      <c r="F545" s="20" t="s">
        <v>47</v>
      </c>
      <c r="G545" s="20" t="n">
        <v>3</v>
      </c>
      <c r="H545" s="17"/>
    </row>
    <row r="546" customFormat="false" ht="15" hidden="false" customHeight="false" outlineLevel="0" collapsed="false">
      <c r="A546" s="18" t="s">
        <v>758</v>
      </c>
      <c r="B546" s="18" t="s">
        <v>132</v>
      </c>
      <c r="C546" s="18" t="s">
        <v>759</v>
      </c>
      <c r="D546" s="19" t="n">
        <v>5000</v>
      </c>
      <c r="E546" s="19" t="n">
        <v>10000</v>
      </c>
      <c r="F546" s="20" t="s">
        <v>47</v>
      </c>
      <c r="G546" s="20" t="n">
        <v>3</v>
      </c>
      <c r="H546" s="17"/>
    </row>
    <row r="547" customFormat="false" ht="15" hidden="false" customHeight="false" outlineLevel="0" collapsed="false">
      <c r="A547" s="18" t="s">
        <v>760</v>
      </c>
      <c r="B547" s="18" t="s">
        <v>132</v>
      </c>
      <c r="C547" s="17" t="s">
        <v>761</v>
      </c>
      <c r="D547" s="19" t="n">
        <v>2400</v>
      </c>
      <c r="E547" s="19" t="n">
        <v>2400</v>
      </c>
      <c r="F547" s="20" t="s">
        <v>47</v>
      </c>
      <c r="G547" s="20" t="n">
        <v>3</v>
      </c>
      <c r="H547" s="17"/>
    </row>
    <row r="548" customFormat="false" ht="15" hidden="false" customHeight="false" outlineLevel="0" collapsed="false">
      <c r="A548" s="10" t="s">
        <v>762</v>
      </c>
      <c r="B548" s="10" t="s">
        <v>132</v>
      </c>
      <c r="C548" s="10" t="s">
        <v>57</v>
      </c>
      <c r="D548" s="11"/>
      <c r="E548" s="11"/>
      <c r="F548" s="12" t="s">
        <v>35</v>
      </c>
      <c r="G548" s="11" t="n">
        <v>3</v>
      </c>
      <c r="H548" s="9"/>
    </row>
    <row r="549" customFormat="false" ht="114.9" hidden="false" customHeight="false" outlineLevel="0" collapsed="false">
      <c r="A549" s="18" t="s">
        <v>763</v>
      </c>
      <c r="B549" s="18" t="s">
        <v>132</v>
      </c>
      <c r="C549" s="17" t="s">
        <v>764</v>
      </c>
      <c r="D549" s="19" t="n">
        <v>22000</v>
      </c>
      <c r="E549" s="19" t="n">
        <v>36000</v>
      </c>
      <c r="F549" s="20" t="s">
        <v>47</v>
      </c>
      <c r="G549" s="20" t="n">
        <v>10</v>
      </c>
      <c r="H549" s="17"/>
    </row>
    <row r="550" customFormat="false" ht="15" hidden="false" customHeight="false" outlineLevel="0" collapsed="false">
      <c r="A550" s="18" t="s">
        <v>765</v>
      </c>
      <c r="B550" s="18" t="s">
        <v>132</v>
      </c>
      <c r="C550" s="18" t="s">
        <v>766</v>
      </c>
      <c r="D550" s="19" t="n">
        <v>45000</v>
      </c>
      <c r="E550" s="19" t="n">
        <v>50000</v>
      </c>
      <c r="F550" s="20" t="s">
        <v>47</v>
      </c>
      <c r="G550" s="20" t="n">
        <v>10</v>
      </c>
      <c r="H550" s="17"/>
    </row>
    <row r="551" customFormat="false" ht="15" hidden="false" customHeight="false" outlineLevel="0" collapsed="false">
      <c r="A551" s="18" t="s">
        <v>767</v>
      </c>
      <c r="B551" s="18" t="s">
        <v>132</v>
      </c>
      <c r="C551" s="18" t="s">
        <v>768</v>
      </c>
      <c r="D551" s="19" t="n">
        <v>9000</v>
      </c>
      <c r="E551" s="19" t="n">
        <v>10000</v>
      </c>
      <c r="F551" s="20" t="s">
        <v>47</v>
      </c>
      <c r="G551" s="20" t="n">
        <v>3</v>
      </c>
      <c r="H551" s="17"/>
    </row>
    <row r="552" customFormat="false" ht="15" hidden="false" customHeight="false" outlineLevel="0" collapsed="false">
      <c r="A552" s="14" t="s">
        <v>769</v>
      </c>
      <c r="B552" s="14" t="s">
        <v>409</v>
      </c>
      <c r="C552" s="13"/>
      <c r="D552" s="15"/>
      <c r="E552" s="15"/>
      <c r="F552" s="16" t="s">
        <v>39</v>
      </c>
      <c r="G552" s="15" t="n">
        <v>10</v>
      </c>
      <c r="H552" s="13"/>
    </row>
    <row r="553" customFormat="false" ht="15" hidden="false" customHeight="false" outlineLevel="0" collapsed="false">
      <c r="A553" s="18" t="s">
        <v>770</v>
      </c>
      <c r="B553" s="18" t="s">
        <v>132</v>
      </c>
      <c r="C553" s="18" t="s">
        <v>771</v>
      </c>
      <c r="D553" s="19" t="n">
        <v>5000</v>
      </c>
      <c r="E553" s="19" t="n">
        <v>10000</v>
      </c>
      <c r="F553" s="20" t="s">
        <v>47</v>
      </c>
      <c r="G553" s="20" t="n">
        <v>3</v>
      </c>
      <c r="H553" s="17"/>
    </row>
    <row r="554" customFormat="false" ht="15" hidden="false" customHeight="false" outlineLevel="0" collapsed="false">
      <c r="A554" s="18" t="s">
        <v>772</v>
      </c>
      <c r="B554" s="18" t="s">
        <v>132</v>
      </c>
      <c r="C554" s="17" t="s">
        <v>161</v>
      </c>
      <c r="D554" s="19" t="n">
        <v>5000</v>
      </c>
      <c r="E554" s="19" t="n">
        <v>5000</v>
      </c>
      <c r="F554" s="20" t="s">
        <v>47</v>
      </c>
      <c r="G554" s="20" t="n">
        <v>7</v>
      </c>
      <c r="H554" s="17"/>
    </row>
    <row r="555" customFormat="false" ht="15" hidden="false" customHeight="false" outlineLevel="0" collapsed="false">
      <c r="A555" s="10" t="s">
        <v>773</v>
      </c>
      <c r="B555" s="10" t="s">
        <v>132</v>
      </c>
      <c r="C555" s="10" t="s">
        <v>57</v>
      </c>
      <c r="D555" s="11"/>
      <c r="E555" s="11"/>
      <c r="F555" s="12" t="s">
        <v>35</v>
      </c>
      <c r="G555" s="11" t="n">
        <v>3</v>
      </c>
      <c r="H555" s="9"/>
    </row>
    <row r="556" customFormat="false" ht="15" hidden="false" customHeight="false" outlineLevel="0" collapsed="false">
      <c r="A556" s="18" t="s">
        <v>774</v>
      </c>
      <c r="B556" s="18" t="s">
        <v>132</v>
      </c>
      <c r="C556" s="17" t="s">
        <v>339</v>
      </c>
      <c r="D556" s="19" t="n">
        <v>20000</v>
      </c>
      <c r="E556" s="19" t="n">
        <v>20000</v>
      </c>
      <c r="F556" s="20" t="s">
        <v>47</v>
      </c>
      <c r="G556" s="20" t="n">
        <v>7</v>
      </c>
      <c r="H556" s="17"/>
    </row>
    <row r="557" customFormat="false" ht="15" hidden="false" customHeight="false" outlineLevel="0" collapsed="false">
      <c r="A557" s="18" t="s">
        <v>775</v>
      </c>
      <c r="B557" s="18" t="s">
        <v>132</v>
      </c>
      <c r="C557" s="17" t="s">
        <v>375</v>
      </c>
      <c r="D557" s="19" t="n">
        <v>10000</v>
      </c>
      <c r="E557" s="19" t="n">
        <v>10000</v>
      </c>
      <c r="F557" s="20" t="s">
        <v>47</v>
      </c>
      <c r="G557" s="20" t="n">
        <v>7</v>
      </c>
      <c r="H557" s="17"/>
    </row>
    <row r="558" customFormat="false" ht="15" hidden="false" customHeight="false" outlineLevel="0" collapsed="false">
      <c r="A558" s="18" t="s">
        <v>776</v>
      </c>
      <c r="B558" s="18" t="s">
        <v>132</v>
      </c>
      <c r="C558" s="17" t="s">
        <v>375</v>
      </c>
      <c r="D558" s="19" t="n">
        <v>10000</v>
      </c>
      <c r="E558" s="19" t="n">
        <v>10000</v>
      </c>
      <c r="F558" s="20" t="s">
        <v>47</v>
      </c>
      <c r="G558" s="20" t="n">
        <v>7</v>
      </c>
      <c r="H558" s="17"/>
    </row>
    <row r="559" customFormat="false" ht="15" hidden="false" customHeight="false" outlineLevel="0" collapsed="false">
      <c r="A559" s="10" t="s">
        <v>777</v>
      </c>
      <c r="B559" s="10" t="s">
        <v>119</v>
      </c>
      <c r="C559" s="10" t="s">
        <v>57</v>
      </c>
      <c r="D559" s="11"/>
      <c r="E559" s="11"/>
      <c r="F559" s="12" t="s">
        <v>35</v>
      </c>
      <c r="G559" s="11" t="n">
        <v>0</v>
      </c>
      <c r="H559" s="9"/>
    </row>
    <row r="560" customFormat="false" ht="15" hidden="false" customHeight="false" outlineLevel="0" collapsed="false">
      <c r="A560" s="10" t="s">
        <v>778</v>
      </c>
      <c r="B560" s="10" t="s">
        <v>119</v>
      </c>
      <c r="C560" s="10" t="s">
        <v>57</v>
      </c>
      <c r="D560" s="11"/>
      <c r="E560" s="11"/>
      <c r="F560" s="12" t="s">
        <v>35</v>
      </c>
      <c r="G560" s="11" t="n">
        <v>0</v>
      </c>
      <c r="H560" s="9"/>
    </row>
    <row r="561" customFormat="false" ht="15" hidden="false" customHeight="false" outlineLevel="0" collapsed="false">
      <c r="A561" s="14" t="s">
        <v>779</v>
      </c>
      <c r="B561" s="14" t="s">
        <v>119</v>
      </c>
      <c r="C561" s="13"/>
      <c r="D561" s="15"/>
      <c r="E561" s="15"/>
      <c r="F561" s="16" t="s">
        <v>39</v>
      </c>
      <c r="G561" s="15" t="n">
        <v>0</v>
      </c>
      <c r="H561" s="13"/>
    </row>
    <row r="562" customFormat="false" ht="15" hidden="false" customHeight="false" outlineLevel="0" collapsed="false">
      <c r="A562" s="14" t="s">
        <v>780</v>
      </c>
      <c r="B562" s="14" t="s">
        <v>138</v>
      </c>
      <c r="C562" s="13"/>
      <c r="D562" s="15"/>
      <c r="E562" s="15"/>
      <c r="F562" s="16" t="s">
        <v>39</v>
      </c>
      <c r="G562" s="15" t="n">
        <v>0</v>
      </c>
      <c r="H562" s="13"/>
    </row>
    <row r="563" customFormat="false" ht="15" hidden="false" customHeight="false" outlineLevel="0" collapsed="false">
      <c r="A563" s="14" t="s">
        <v>781</v>
      </c>
      <c r="B563" s="14" t="s">
        <v>119</v>
      </c>
      <c r="C563" s="13"/>
      <c r="D563" s="15"/>
      <c r="E563" s="15"/>
      <c r="F563" s="16" t="s">
        <v>39</v>
      </c>
      <c r="G563" s="15" t="n">
        <v>0</v>
      </c>
      <c r="H563" s="13"/>
    </row>
    <row r="564" customFormat="false" ht="15" hidden="false" customHeight="false" outlineLevel="0" collapsed="false">
      <c r="A564" s="10" t="s">
        <v>782</v>
      </c>
      <c r="B564" s="10" t="s">
        <v>119</v>
      </c>
      <c r="C564" s="10" t="s">
        <v>57</v>
      </c>
      <c r="D564" s="11"/>
      <c r="E564" s="11"/>
      <c r="F564" s="12" t="s">
        <v>35</v>
      </c>
      <c r="G564" s="11" t="n">
        <v>0</v>
      </c>
      <c r="H564" s="9"/>
    </row>
    <row r="565" customFormat="false" ht="15" hidden="false" customHeight="false" outlineLevel="0" collapsed="false">
      <c r="A565" s="14" t="s">
        <v>783</v>
      </c>
      <c r="B565" s="14" t="s">
        <v>51</v>
      </c>
      <c r="C565" s="13"/>
      <c r="D565" s="15"/>
      <c r="E565" s="15"/>
      <c r="F565" s="16" t="s">
        <v>39</v>
      </c>
      <c r="G565" s="15" t="n">
        <v>5</v>
      </c>
      <c r="H565" s="13"/>
    </row>
    <row r="566" customFormat="false" ht="15" hidden="false" customHeight="false" outlineLevel="0" collapsed="false">
      <c r="A566" s="18" t="s">
        <v>784</v>
      </c>
      <c r="B566" s="18" t="s">
        <v>124</v>
      </c>
      <c r="C566" s="17" t="s">
        <v>785</v>
      </c>
      <c r="D566" s="19" t="n">
        <v>5500</v>
      </c>
      <c r="E566" s="19" t="n">
        <v>5500</v>
      </c>
      <c r="F566" s="20" t="s">
        <v>47</v>
      </c>
      <c r="G566" s="20" t="n">
        <v>0</v>
      </c>
      <c r="H566" s="17"/>
    </row>
    <row r="567" customFormat="false" ht="15" hidden="false" customHeight="false" outlineLevel="0" collapsed="false">
      <c r="A567" s="18" t="s">
        <v>786</v>
      </c>
      <c r="B567" s="18" t="s">
        <v>124</v>
      </c>
      <c r="C567" s="17" t="s">
        <v>787</v>
      </c>
      <c r="D567" s="19" t="n">
        <v>3000</v>
      </c>
      <c r="E567" s="19" t="n">
        <v>3000</v>
      </c>
      <c r="F567" s="20" t="s">
        <v>47</v>
      </c>
      <c r="G567" s="20" t="n">
        <v>0</v>
      </c>
      <c r="H567" s="17"/>
    </row>
    <row r="568" customFormat="false" ht="29.85" hidden="false" customHeight="false" outlineLevel="0" collapsed="false">
      <c r="A568" s="14" t="s">
        <v>788</v>
      </c>
      <c r="B568" s="14" t="s">
        <v>219</v>
      </c>
      <c r="C568" s="13"/>
      <c r="D568" s="15"/>
      <c r="E568" s="15"/>
      <c r="F568" s="16" t="s">
        <v>39</v>
      </c>
      <c r="G568" s="15" t="n">
        <v>3</v>
      </c>
      <c r="H568" s="13"/>
    </row>
    <row r="569" customFormat="false" ht="29.85" hidden="false" customHeight="false" outlineLevel="0" collapsed="false">
      <c r="A569" s="18" t="s">
        <v>789</v>
      </c>
      <c r="B569" s="18" t="s">
        <v>219</v>
      </c>
      <c r="C569" s="17" t="s">
        <v>498</v>
      </c>
      <c r="D569" s="19" t="n">
        <v>20000</v>
      </c>
      <c r="E569" s="19" t="n">
        <v>20000</v>
      </c>
      <c r="F569" s="20" t="s">
        <v>47</v>
      </c>
      <c r="G569" s="20" t="n">
        <v>3</v>
      </c>
      <c r="H569" s="17"/>
    </row>
    <row r="570" customFormat="false" ht="15" hidden="false" customHeight="false" outlineLevel="0" collapsed="false">
      <c r="A570" s="14" t="s">
        <v>790</v>
      </c>
      <c r="B570" s="14" t="s">
        <v>60</v>
      </c>
      <c r="C570" s="13"/>
      <c r="D570" s="15"/>
      <c r="E570" s="15"/>
      <c r="F570" s="16" t="s">
        <v>39</v>
      </c>
      <c r="G570" s="15" t="n">
        <v>5</v>
      </c>
      <c r="H570" s="13"/>
    </row>
    <row r="571" customFormat="false" ht="15" hidden="false" customHeight="false" outlineLevel="0" collapsed="false">
      <c r="A571" s="14" t="s">
        <v>791</v>
      </c>
      <c r="B571" s="14" t="s">
        <v>60</v>
      </c>
      <c r="C571" s="13"/>
      <c r="D571" s="15"/>
      <c r="E571" s="15"/>
      <c r="F571" s="16" t="s">
        <v>39</v>
      </c>
      <c r="G571" s="15" t="n">
        <v>5</v>
      </c>
      <c r="H571" s="13"/>
    </row>
    <row r="572" customFormat="false" ht="44" hidden="false" customHeight="false" outlineLevel="0" collapsed="false">
      <c r="A572" s="14" t="s">
        <v>792</v>
      </c>
      <c r="B572" s="14" t="s">
        <v>60</v>
      </c>
      <c r="C572" s="13"/>
      <c r="D572" s="15"/>
      <c r="E572" s="15"/>
      <c r="F572" s="16" t="s">
        <v>39</v>
      </c>
      <c r="G572" s="15" t="n">
        <v>10</v>
      </c>
      <c r="H572" s="13"/>
    </row>
    <row r="573" customFormat="false" ht="15" hidden="false" customHeight="false" outlineLevel="0" collapsed="false">
      <c r="A573" s="14" t="s">
        <v>793</v>
      </c>
      <c r="B573" s="14" t="s">
        <v>60</v>
      </c>
      <c r="C573" s="13"/>
      <c r="D573" s="15"/>
      <c r="E573" s="15"/>
      <c r="F573" s="16" t="s">
        <v>39</v>
      </c>
      <c r="G573" s="15" t="n">
        <v>5</v>
      </c>
      <c r="H573" s="13"/>
    </row>
    <row r="574" customFormat="false" ht="15" hidden="false" customHeight="false" outlineLevel="0" collapsed="false">
      <c r="A574" s="14" t="s">
        <v>794</v>
      </c>
      <c r="B574" s="14" t="s">
        <v>60</v>
      </c>
      <c r="C574" s="13"/>
      <c r="D574" s="15"/>
      <c r="E574" s="15"/>
      <c r="F574" s="16" t="s">
        <v>39</v>
      </c>
      <c r="G574" s="15" t="n">
        <v>0</v>
      </c>
      <c r="H574" s="13"/>
    </row>
    <row r="575" customFormat="false" ht="15" hidden="false" customHeight="false" outlineLevel="0" collapsed="false">
      <c r="A575" s="14" t="s">
        <v>795</v>
      </c>
      <c r="B575" s="14" t="s">
        <v>60</v>
      </c>
      <c r="C575" s="13"/>
      <c r="D575" s="15"/>
      <c r="E575" s="15"/>
      <c r="F575" s="16" t="s">
        <v>39</v>
      </c>
      <c r="G575" s="15" t="n">
        <v>10</v>
      </c>
      <c r="H575" s="13"/>
    </row>
    <row r="576" customFormat="false" ht="15" hidden="false" customHeight="false" outlineLevel="0" collapsed="false">
      <c r="A576" s="14" t="s">
        <v>796</v>
      </c>
      <c r="B576" s="14" t="s">
        <v>548</v>
      </c>
      <c r="C576" s="13"/>
      <c r="D576" s="15"/>
      <c r="E576" s="15"/>
      <c r="F576" s="16" t="s">
        <v>39</v>
      </c>
      <c r="G576" s="15" t="n">
        <v>7</v>
      </c>
      <c r="H576" s="13"/>
    </row>
    <row r="577" customFormat="false" ht="15" hidden="false" customHeight="false" outlineLevel="0" collapsed="false">
      <c r="A577" s="14" t="s">
        <v>797</v>
      </c>
      <c r="B577" s="14" t="s">
        <v>224</v>
      </c>
      <c r="C577" s="13"/>
      <c r="D577" s="15"/>
      <c r="E577" s="15"/>
      <c r="F577" s="16" t="s">
        <v>39</v>
      </c>
      <c r="G577" s="15" t="n">
        <v>30</v>
      </c>
      <c r="H577" s="13"/>
    </row>
    <row r="578" customFormat="false" ht="15" hidden="false" customHeight="false" outlineLevel="0" collapsed="false">
      <c r="A578" s="10" t="s">
        <v>798</v>
      </c>
      <c r="B578" s="10" t="s">
        <v>60</v>
      </c>
      <c r="C578" s="10" t="s">
        <v>57</v>
      </c>
      <c r="D578" s="11"/>
      <c r="E578" s="11"/>
      <c r="F578" s="12" t="s">
        <v>35</v>
      </c>
      <c r="G578" s="11" t="n">
        <v>5</v>
      </c>
      <c r="H578" s="9"/>
    </row>
    <row r="579" customFormat="false" ht="15" hidden="false" customHeight="false" outlineLevel="0" collapsed="false">
      <c r="A579" s="18" t="s">
        <v>799</v>
      </c>
      <c r="B579" s="18" t="s">
        <v>109</v>
      </c>
      <c r="C579" s="18" t="s">
        <v>800</v>
      </c>
      <c r="D579" s="19" t="n">
        <v>1400</v>
      </c>
      <c r="E579" s="19" t="n">
        <v>1400</v>
      </c>
      <c r="F579" s="20" t="s">
        <v>47</v>
      </c>
      <c r="G579" s="20" t="n">
        <v>10</v>
      </c>
      <c r="H579" s="17"/>
    </row>
    <row r="580" customFormat="false" ht="15" hidden="false" customHeight="false" outlineLevel="0" collapsed="false">
      <c r="A580" s="18" t="s">
        <v>801</v>
      </c>
      <c r="B580" s="18" t="s">
        <v>138</v>
      </c>
      <c r="C580" s="18" t="s">
        <v>802</v>
      </c>
      <c r="D580" s="19" t="n">
        <v>1500</v>
      </c>
      <c r="E580" s="19" t="n">
        <v>1500</v>
      </c>
      <c r="F580" s="20" t="s">
        <v>47</v>
      </c>
      <c r="G580" s="20" t="n">
        <v>10</v>
      </c>
      <c r="H580" s="17"/>
    </row>
    <row r="581" customFormat="false" ht="15" hidden="false" customHeight="false" outlineLevel="0" collapsed="false">
      <c r="A581" s="18" t="s">
        <v>803</v>
      </c>
      <c r="B581" s="18" t="s">
        <v>119</v>
      </c>
      <c r="C581" s="17" t="s">
        <v>261</v>
      </c>
      <c r="D581" s="19" t="n">
        <v>1000</v>
      </c>
      <c r="E581" s="19" t="n">
        <v>1000</v>
      </c>
      <c r="F581" s="20" t="s">
        <v>47</v>
      </c>
      <c r="G581" s="20" t="n">
        <v>4</v>
      </c>
      <c r="H581" s="17"/>
    </row>
    <row r="582" customFormat="false" ht="15" hidden="false" customHeight="false" outlineLevel="0" collapsed="false">
      <c r="A582" s="14" t="s">
        <v>804</v>
      </c>
      <c r="B582" s="14" t="s">
        <v>60</v>
      </c>
      <c r="C582" s="13"/>
      <c r="D582" s="15"/>
      <c r="E582" s="15"/>
      <c r="F582" s="16" t="s">
        <v>39</v>
      </c>
      <c r="G582" s="15" t="n">
        <v>0</v>
      </c>
      <c r="H582" s="13"/>
    </row>
    <row r="583" customFormat="false" ht="15" hidden="false" customHeight="false" outlineLevel="0" collapsed="false">
      <c r="A583" s="14" t="s">
        <v>805</v>
      </c>
      <c r="B583" s="14" t="s">
        <v>138</v>
      </c>
      <c r="C583" s="13"/>
      <c r="D583" s="15"/>
      <c r="E583" s="15"/>
      <c r="F583" s="16" t="s">
        <v>39</v>
      </c>
      <c r="G583" s="15" t="n">
        <v>0</v>
      </c>
      <c r="H583" s="13"/>
    </row>
    <row r="584" customFormat="false" ht="15" hidden="false" customHeight="false" outlineLevel="0" collapsed="false">
      <c r="A584" s="14" t="s">
        <v>806</v>
      </c>
      <c r="B584" s="14" t="s">
        <v>138</v>
      </c>
      <c r="C584" s="13"/>
      <c r="D584" s="15"/>
      <c r="E584" s="15"/>
      <c r="F584" s="16" t="s">
        <v>39</v>
      </c>
      <c r="G584" s="15" t="n">
        <v>0</v>
      </c>
      <c r="H584" s="13"/>
    </row>
    <row r="585" customFormat="false" ht="15" hidden="false" customHeight="false" outlineLevel="0" collapsed="false">
      <c r="A585" s="18" t="s">
        <v>807</v>
      </c>
      <c r="B585" s="18" t="s">
        <v>138</v>
      </c>
      <c r="C585" s="17" t="s">
        <v>808</v>
      </c>
      <c r="D585" s="19" t="n">
        <v>500</v>
      </c>
      <c r="E585" s="19" t="n">
        <v>1000</v>
      </c>
      <c r="F585" s="20" t="s">
        <v>47</v>
      </c>
      <c r="G585" s="20" t="n">
        <v>0</v>
      </c>
      <c r="H585" s="17"/>
    </row>
    <row r="586" customFormat="false" ht="44" hidden="false" customHeight="false" outlineLevel="0" collapsed="false">
      <c r="A586" s="18" t="s">
        <v>809</v>
      </c>
      <c r="B586" s="18" t="s">
        <v>138</v>
      </c>
      <c r="C586" s="17" t="s">
        <v>810</v>
      </c>
      <c r="D586" s="19" t="n">
        <v>1300</v>
      </c>
      <c r="E586" s="19" t="n">
        <v>15000</v>
      </c>
      <c r="F586" s="20" t="s">
        <v>47</v>
      </c>
      <c r="G586" s="20" t="n">
        <v>0</v>
      </c>
      <c r="H586" s="17"/>
    </row>
    <row r="587" customFormat="false" ht="15" hidden="false" customHeight="false" outlineLevel="0" collapsed="false">
      <c r="A587" s="14" t="s">
        <v>811</v>
      </c>
      <c r="B587" s="14" t="s">
        <v>138</v>
      </c>
      <c r="C587" s="13"/>
      <c r="D587" s="15"/>
      <c r="E587" s="15"/>
      <c r="F587" s="16" t="s">
        <v>39</v>
      </c>
      <c r="G587" s="15" t="n">
        <v>0</v>
      </c>
      <c r="H587" s="13"/>
    </row>
    <row r="588" customFormat="false" ht="15" hidden="false" customHeight="false" outlineLevel="0" collapsed="false">
      <c r="A588" s="14" t="s">
        <v>812</v>
      </c>
      <c r="B588" s="14" t="s">
        <v>331</v>
      </c>
      <c r="C588" s="13"/>
      <c r="D588" s="15"/>
      <c r="E588" s="15"/>
      <c r="F588" s="16" t="s">
        <v>39</v>
      </c>
      <c r="G588" s="15" t="n">
        <v>7</v>
      </c>
      <c r="H588" s="13"/>
    </row>
    <row r="589" customFormat="false" ht="15" hidden="false" customHeight="false" outlineLevel="0" collapsed="false">
      <c r="A589" s="18" t="s">
        <v>813</v>
      </c>
      <c r="B589" s="18" t="s">
        <v>138</v>
      </c>
      <c r="C589" s="17" t="s">
        <v>814</v>
      </c>
      <c r="D589" s="19" t="n">
        <v>500</v>
      </c>
      <c r="E589" s="19" t="n">
        <v>1000</v>
      </c>
      <c r="F589" s="20" t="s">
        <v>47</v>
      </c>
      <c r="G589" s="20" t="n">
        <v>0</v>
      </c>
      <c r="H589" s="17"/>
    </row>
    <row r="590" customFormat="false" ht="58.2" hidden="false" customHeight="false" outlineLevel="0" collapsed="false">
      <c r="A590" s="18" t="s">
        <v>815</v>
      </c>
      <c r="B590" s="18" t="s">
        <v>138</v>
      </c>
      <c r="C590" s="18" t="s">
        <v>816</v>
      </c>
      <c r="D590" s="19" t="n">
        <v>2000</v>
      </c>
      <c r="E590" s="19" t="n">
        <v>3000</v>
      </c>
      <c r="F590" s="20" t="s">
        <v>47</v>
      </c>
      <c r="G590" s="20" t="n">
        <v>0</v>
      </c>
      <c r="H590" s="17"/>
    </row>
    <row r="591" customFormat="false" ht="15" hidden="false" customHeight="false" outlineLevel="0" collapsed="false">
      <c r="A591" s="14" t="s">
        <v>817</v>
      </c>
      <c r="B591" s="14" t="s">
        <v>138</v>
      </c>
      <c r="C591" s="14" t="s">
        <v>818</v>
      </c>
      <c r="D591" s="15"/>
      <c r="E591" s="15"/>
      <c r="F591" s="16" t="s">
        <v>39</v>
      </c>
      <c r="G591" s="15" t="n">
        <v>0</v>
      </c>
      <c r="H591" s="13"/>
    </row>
    <row r="592" customFormat="false" ht="15" hidden="false" customHeight="false" outlineLevel="0" collapsed="false">
      <c r="A592" s="14" t="s">
        <v>819</v>
      </c>
      <c r="B592" s="14" t="s">
        <v>138</v>
      </c>
      <c r="C592" s="13"/>
      <c r="D592" s="15"/>
      <c r="E592" s="15"/>
      <c r="F592" s="16" t="s">
        <v>39</v>
      </c>
      <c r="G592" s="15" t="n">
        <v>0</v>
      </c>
      <c r="H592" s="13"/>
    </row>
    <row r="593" customFormat="false" ht="58.2" hidden="false" customHeight="false" outlineLevel="0" collapsed="false">
      <c r="A593" s="18" t="s">
        <v>820</v>
      </c>
      <c r="B593" s="18" t="s">
        <v>138</v>
      </c>
      <c r="C593" s="18" t="s">
        <v>821</v>
      </c>
      <c r="D593" s="19" t="n">
        <v>1000</v>
      </c>
      <c r="E593" s="19" t="n">
        <v>3000</v>
      </c>
      <c r="F593" s="20" t="s">
        <v>47</v>
      </c>
      <c r="G593" s="20" t="n">
        <v>0</v>
      </c>
      <c r="H593" s="17"/>
    </row>
    <row r="594" customFormat="false" ht="29.85" hidden="false" customHeight="false" outlineLevel="0" collapsed="false">
      <c r="A594" s="10" t="s">
        <v>822</v>
      </c>
      <c r="B594" s="10" t="s">
        <v>138</v>
      </c>
      <c r="C594" s="9" t="s">
        <v>823</v>
      </c>
      <c r="D594" s="21" t="n">
        <v>100</v>
      </c>
      <c r="E594" s="21" t="n">
        <v>300</v>
      </c>
      <c r="F594" s="12" t="s">
        <v>35</v>
      </c>
      <c r="G594" s="11" t="n">
        <v>0</v>
      </c>
      <c r="H594" s="9"/>
    </row>
    <row r="595" customFormat="false" ht="15" hidden="false" customHeight="false" outlineLevel="0" collapsed="false">
      <c r="A595" s="14" t="s">
        <v>824</v>
      </c>
      <c r="B595" s="14" t="s">
        <v>138</v>
      </c>
      <c r="C595" s="13"/>
      <c r="D595" s="15"/>
      <c r="E595" s="15"/>
      <c r="F595" s="16" t="s">
        <v>39</v>
      </c>
      <c r="G595" s="15" t="n">
        <v>0</v>
      </c>
      <c r="H595" s="13"/>
    </row>
    <row r="596" customFormat="false" ht="15" hidden="false" customHeight="false" outlineLevel="0" collapsed="false">
      <c r="A596" s="18" t="s">
        <v>825</v>
      </c>
      <c r="B596" s="18" t="s">
        <v>138</v>
      </c>
      <c r="C596" s="17" t="s">
        <v>826</v>
      </c>
      <c r="D596" s="19" t="n">
        <v>1800</v>
      </c>
      <c r="E596" s="19" t="n">
        <v>1800</v>
      </c>
      <c r="F596" s="20" t="s">
        <v>47</v>
      </c>
      <c r="G596" s="20" t="n">
        <v>0</v>
      </c>
      <c r="H596" s="17"/>
    </row>
    <row r="597" customFormat="false" ht="15" hidden="false" customHeight="false" outlineLevel="0" collapsed="false">
      <c r="A597" s="14" t="s">
        <v>827</v>
      </c>
      <c r="B597" s="14" t="s">
        <v>138</v>
      </c>
      <c r="C597" s="13"/>
      <c r="D597" s="15"/>
      <c r="E597" s="15"/>
      <c r="F597" s="16" t="s">
        <v>39</v>
      </c>
      <c r="G597" s="15" t="n">
        <v>0</v>
      </c>
      <c r="H597" s="13"/>
    </row>
    <row r="598" customFormat="false" ht="15" hidden="false" customHeight="false" outlineLevel="0" collapsed="false">
      <c r="A598" s="18" t="s">
        <v>828</v>
      </c>
      <c r="B598" s="18" t="s">
        <v>138</v>
      </c>
      <c r="C598" s="17" t="s">
        <v>829</v>
      </c>
      <c r="D598" s="20"/>
      <c r="E598" s="20"/>
      <c r="F598" s="20" t="s">
        <v>47</v>
      </c>
      <c r="G598" s="20" t="n">
        <v>0</v>
      </c>
      <c r="H598" s="17"/>
    </row>
    <row r="599" customFormat="false" ht="15" hidden="false" customHeight="false" outlineLevel="0" collapsed="false">
      <c r="A599" s="18" t="s">
        <v>830</v>
      </c>
      <c r="B599" s="18" t="s">
        <v>138</v>
      </c>
      <c r="C599" s="18" t="s">
        <v>831</v>
      </c>
      <c r="D599" s="20"/>
      <c r="E599" s="20"/>
      <c r="F599" s="20" t="s">
        <v>47</v>
      </c>
      <c r="G599" s="20" t="n">
        <v>0</v>
      </c>
      <c r="H599" s="17"/>
    </row>
    <row r="600" customFormat="false" ht="15" hidden="false" customHeight="false" outlineLevel="0" collapsed="false">
      <c r="A600" s="14" t="s">
        <v>832</v>
      </c>
      <c r="B600" s="14" t="s">
        <v>138</v>
      </c>
      <c r="C600" s="13"/>
      <c r="D600" s="15"/>
      <c r="E600" s="15"/>
      <c r="F600" s="16" t="s">
        <v>39</v>
      </c>
      <c r="G600" s="15" t="n">
        <v>0</v>
      </c>
      <c r="H600" s="13"/>
    </row>
    <row r="601" customFormat="false" ht="15" hidden="false" customHeight="false" outlineLevel="0" collapsed="false">
      <c r="A601" s="18" t="s">
        <v>833</v>
      </c>
      <c r="B601" s="18" t="s">
        <v>147</v>
      </c>
      <c r="C601" s="18" t="s">
        <v>834</v>
      </c>
      <c r="D601" s="19" t="n">
        <v>20000</v>
      </c>
      <c r="E601" s="19" t="n">
        <v>20000</v>
      </c>
      <c r="F601" s="20" t="s">
        <v>47</v>
      </c>
      <c r="G601" s="20" t="n">
        <v>15</v>
      </c>
      <c r="H601" s="17"/>
    </row>
    <row r="602" customFormat="false" ht="15" hidden="false" customHeight="false" outlineLevel="0" collapsed="false">
      <c r="A602" s="18" t="s">
        <v>835</v>
      </c>
      <c r="B602" s="18" t="s">
        <v>147</v>
      </c>
      <c r="C602" s="18" t="s">
        <v>836</v>
      </c>
      <c r="D602" s="19" t="n">
        <v>12000</v>
      </c>
      <c r="E602" s="19" t="n">
        <v>12000</v>
      </c>
      <c r="F602" s="20" t="s">
        <v>47</v>
      </c>
      <c r="G602" s="20" t="n">
        <v>10</v>
      </c>
      <c r="H602" s="17"/>
    </row>
    <row r="603" customFormat="false" ht="15" hidden="false" customHeight="false" outlineLevel="0" collapsed="false">
      <c r="A603" s="10" t="s">
        <v>837</v>
      </c>
      <c r="B603" s="10" t="s">
        <v>147</v>
      </c>
      <c r="C603" s="10" t="s">
        <v>57</v>
      </c>
      <c r="D603" s="11"/>
      <c r="E603" s="11"/>
      <c r="F603" s="12" t="s">
        <v>35</v>
      </c>
      <c r="G603" s="11" t="n">
        <v>0</v>
      </c>
      <c r="H603" s="9"/>
    </row>
    <row r="604" customFormat="false" ht="15" hidden="false" customHeight="false" outlineLevel="0" collapsed="false">
      <c r="A604" s="18" t="s">
        <v>838</v>
      </c>
      <c r="B604" s="18" t="s">
        <v>147</v>
      </c>
      <c r="C604" s="18" t="s">
        <v>839</v>
      </c>
      <c r="D604" s="19" t="n">
        <v>13100</v>
      </c>
      <c r="E604" s="19" t="n">
        <v>13100</v>
      </c>
      <c r="F604" s="20" t="s">
        <v>47</v>
      </c>
      <c r="G604" s="20" t="n">
        <v>5</v>
      </c>
      <c r="H604" s="17"/>
    </row>
    <row r="605" customFormat="false" ht="29.85" hidden="false" customHeight="false" outlineLevel="0" collapsed="false">
      <c r="A605" s="18" t="s">
        <v>840</v>
      </c>
      <c r="B605" s="18" t="s">
        <v>109</v>
      </c>
      <c r="C605" s="18" t="s">
        <v>841</v>
      </c>
      <c r="D605" s="19" t="n">
        <v>2000</v>
      </c>
      <c r="E605" s="19" t="n">
        <v>5000</v>
      </c>
      <c r="F605" s="20" t="s">
        <v>47</v>
      </c>
      <c r="G605" s="20" t="n">
        <v>7</v>
      </c>
      <c r="H605" s="17"/>
    </row>
    <row r="606" customFormat="false" ht="15" hidden="false" customHeight="false" outlineLevel="0" collapsed="false">
      <c r="A606" s="14" t="s">
        <v>842</v>
      </c>
      <c r="B606" s="14" t="s">
        <v>138</v>
      </c>
      <c r="C606" s="13"/>
      <c r="D606" s="15"/>
      <c r="E606" s="15"/>
      <c r="F606" s="16" t="s">
        <v>39</v>
      </c>
      <c r="G606" s="15" t="n">
        <v>0</v>
      </c>
      <c r="H606" s="13"/>
    </row>
    <row r="607" customFormat="false" ht="29.85" hidden="false" customHeight="false" outlineLevel="0" collapsed="false">
      <c r="A607" s="10" t="s">
        <v>843</v>
      </c>
      <c r="B607" s="10" t="s">
        <v>138</v>
      </c>
      <c r="C607" s="9" t="s">
        <v>844</v>
      </c>
      <c r="D607" s="21" t="n">
        <v>100</v>
      </c>
      <c r="E607" s="21" t="n">
        <v>300</v>
      </c>
      <c r="F607" s="12" t="s">
        <v>35</v>
      </c>
      <c r="G607" s="11" t="n">
        <v>0</v>
      </c>
      <c r="H607" s="9"/>
    </row>
    <row r="608" customFormat="false" ht="15" hidden="false" customHeight="false" outlineLevel="0" collapsed="false">
      <c r="A608" s="18" t="s">
        <v>845</v>
      </c>
      <c r="B608" s="18" t="s">
        <v>138</v>
      </c>
      <c r="C608" s="18" t="s">
        <v>846</v>
      </c>
      <c r="D608" s="19" t="n">
        <v>15000</v>
      </c>
      <c r="E608" s="19" t="n">
        <v>15000</v>
      </c>
      <c r="F608" s="20" t="s">
        <v>47</v>
      </c>
      <c r="G608" s="20" t="n">
        <v>0</v>
      </c>
      <c r="H608" s="17"/>
    </row>
    <row r="609" customFormat="false" ht="29.85" hidden="false" customHeight="false" outlineLevel="0" collapsed="false">
      <c r="A609" s="10" t="s">
        <v>847</v>
      </c>
      <c r="B609" s="10" t="s">
        <v>119</v>
      </c>
      <c r="C609" s="9" t="s">
        <v>848</v>
      </c>
      <c r="D609" s="21" t="n">
        <v>100</v>
      </c>
      <c r="E609" s="21" t="n">
        <v>300</v>
      </c>
      <c r="F609" s="12" t="s">
        <v>35</v>
      </c>
      <c r="G609" s="11" t="n">
        <v>0</v>
      </c>
      <c r="H609" s="9"/>
    </row>
    <row r="610" customFormat="false" ht="29.85" hidden="false" customHeight="false" outlineLevel="0" collapsed="false">
      <c r="A610" s="10" t="s">
        <v>849</v>
      </c>
      <c r="B610" s="9"/>
      <c r="C610" s="10" t="s">
        <v>850</v>
      </c>
      <c r="D610" s="21" t="n">
        <v>100</v>
      </c>
      <c r="E610" s="21" t="n">
        <v>300</v>
      </c>
      <c r="F610" s="12" t="s">
        <v>35</v>
      </c>
      <c r="G610" s="11" t="n">
        <v>0</v>
      </c>
      <c r="H610" s="9"/>
    </row>
    <row r="611" customFormat="false" ht="15" hidden="false" customHeight="false" outlineLevel="0" collapsed="false">
      <c r="A611" s="18" t="s">
        <v>851</v>
      </c>
      <c r="B611" s="18" t="s">
        <v>119</v>
      </c>
      <c r="C611" s="17" t="s">
        <v>852</v>
      </c>
      <c r="D611" s="19" t="n">
        <v>700</v>
      </c>
      <c r="E611" s="19" t="n">
        <v>700</v>
      </c>
      <c r="F611" s="20" t="s">
        <v>47</v>
      </c>
      <c r="G611" s="20" t="n">
        <v>0</v>
      </c>
      <c r="H611" s="17"/>
    </row>
    <row r="612" customFormat="false" ht="29.85" hidden="false" customHeight="false" outlineLevel="0" collapsed="false">
      <c r="A612" s="18" t="s">
        <v>853</v>
      </c>
      <c r="B612" s="18" t="s">
        <v>138</v>
      </c>
      <c r="C612" s="17" t="s">
        <v>854</v>
      </c>
      <c r="D612" s="19" t="n">
        <v>600</v>
      </c>
      <c r="E612" s="19" t="n">
        <v>700</v>
      </c>
      <c r="F612" s="20" t="s">
        <v>47</v>
      </c>
      <c r="G612" s="20" t="n">
        <v>0</v>
      </c>
      <c r="H612" s="17"/>
    </row>
    <row r="613" customFormat="false" ht="15" hidden="false" customHeight="false" outlineLevel="0" collapsed="false">
      <c r="A613" s="14" t="s">
        <v>855</v>
      </c>
      <c r="B613" s="14" t="s">
        <v>138</v>
      </c>
      <c r="C613" s="13"/>
      <c r="D613" s="15"/>
      <c r="E613" s="15"/>
      <c r="F613" s="16" t="s">
        <v>39</v>
      </c>
      <c r="G613" s="15" t="n">
        <v>0</v>
      </c>
      <c r="H613" s="13"/>
    </row>
    <row r="614" customFormat="false" ht="15" hidden="false" customHeight="false" outlineLevel="0" collapsed="false">
      <c r="A614" s="10" t="s">
        <v>856</v>
      </c>
      <c r="B614" s="10" t="s">
        <v>82</v>
      </c>
      <c r="C614" s="10" t="s">
        <v>57</v>
      </c>
      <c r="D614" s="11"/>
      <c r="E614" s="11"/>
      <c r="F614" s="12" t="s">
        <v>35</v>
      </c>
      <c r="G614" s="11" t="n">
        <v>30</v>
      </c>
      <c r="H614" s="9"/>
    </row>
    <row r="615" customFormat="false" ht="15" hidden="false" customHeight="false" outlineLevel="0" collapsed="false">
      <c r="A615" s="10" t="s">
        <v>857</v>
      </c>
      <c r="B615" s="10" t="s">
        <v>82</v>
      </c>
      <c r="C615" s="10" t="s">
        <v>57</v>
      </c>
      <c r="D615" s="11"/>
      <c r="E615" s="11"/>
      <c r="F615" s="12" t="s">
        <v>35</v>
      </c>
      <c r="G615" s="11" t="n">
        <v>30</v>
      </c>
      <c r="H615" s="9"/>
    </row>
    <row r="616" customFormat="false" ht="15" hidden="false" customHeight="false" outlineLevel="0" collapsed="false">
      <c r="A616" s="14" t="s">
        <v>858</v>
      </c>
      <c r="B616" s="14" t="s">
        <v>859</v>
      </c>
      <c r="C616" s="13"/>
      <c r="D616" s="15"/>
      <c r="E616" s="15"/>
      <c r="F616" s="16" t="s">
        <v>39</v>
      </c>
      <c r="G616" s="15" t="n">
        <v>5</v>
      </c>
      <c r="H616" s="13"/>
    </row>
    <row r="617" customFormat="false" ht="15" hidden="false" customHeight="false" outlineLevel="0" collapsed="false">
      <c r="A617" s="14" t="s">
        <v>860</v>
      </c>
      <c r="B617" s="14" t="s">
        <v>859</v>
      </c>
      <c r="C617" s="13"/>
      <c r="D617" s="15"/>
      <c r="E617" s="15"/>
      <c r="F617" s="16" t="s">
        <v>39</v>
      </c>
      <c r="G617" s="15" t="n">
        <v>20</v>
      </c>
      <c r="H617" s="13"/>
    </row>
    <row r="618" customFormat="false" ht="15" hidden="false" customHeight="false" outlineLevel="0" collapsed="false">
      <c r="A618" s="14" t="s">
        <v>861</v>
      </c>
      <c r="B618" s="14" t="s">
        <v>859</v>
      </c>
      <c r="C618" s="13"/>
      <c r="D618" s="15"/>
      <c r="E618" s="15"/>
      <c r="F618" s="16" t="s">
        <v>39</v>
      </c>
      <c r="G618" s="15" t="n">
        <v>25</v>
      </c>
      <c r="H618" s="13"/>
    </row>
    <row r="619" customFormat="false" ht="15" hidden="false" customHeight="false" outlineLevel="0" collapsed="false">
      <c r="A619" s="14" t="s">
        <v>862</v>
      </c>
      <c r="B619" s="14" t="s">
        <v>859</v>
      </c>
      <c r="C619" s="13"/>
      <c r="D619" s="15"/>
      <c r="E619" s="15"/>
      <c r="F619" s="16" t="s">
        <v>39</v>
      </c>
      <c r="G619" s="15" t="n">
        <v>20</v>
      </c>
      <c r="H619" s="13"/>
    </row>
    <row r="620" customFormat="false" ht="15" hidden="false" customHeight="false" outlineLevel="0" collapsed="false">
      <c r="A620" s="14" t="s">
        <v>863</v>
      </c>
      <c r="B620" s="14" t="s">
        <v>401</v>
      </c>
      <c r="C620" s="13"/>
      <c r="D620" s="15"/>
      <c r="E620" s="15"/>
      <c r="F620" s="16" t="s">
        <v>39</v>
      </c>
      <c r="G620" s="15" t="n">
        <v>0</v>
      </c>
      <c r="H620" s="13"/>
    </row>
    <row r="621" customFormat="false" ht="15" hidden="false" customHeight="false" outlineLevel="0" collapsed="false">
      <c r="A621" s="14" t="s">
        <v>864</v>
      </c>
      <c r="B621" s="14" t="s">
        <v>401</v>
      </c>
      <c r="C621" s="13"/>
      <c r="D621" s="15"/>
      <c r="E621" s="15"/>
      <c r="F621" s="16" t="s">
        <v>39</v>
      </c>
      <c r="G621" s="15" t="n">
        <v>0</v>
      </c>
      <c r="H621" s="13"/>
    </row>
    <row r="622" customFormat="false" ht="15" hidden="false" customHeight="false" outlineLevel="0" collapsed="false">
      <c r="A622" s="14" t="s">
        <v>865</v>
      </c>
      <c r="B622" s="14" t="s">
        <v>343</v>
      </c>
      <c r="C622" s="13"/>
      <c r="D622" s="15"/>
      <c r="E622" s="15"/>
      <c r="F622" s="16" t="s">
        <v>39</v>
      </c>
      <c r="G622" s="15" t="n">
        <v>7</v>
      </c>
      <c r="H622" s="13"/>
    </row>
    <row r="623" customFormat="false" ht="29.85" hidden="false" customHeight="false" outlineLevel="0" collapsed="false">
      <c r="A623" s="14" t="s">
        <v>866</v>
      </c>
      <c r="B623" s="14" t="s">
        <v>343</v>
      </c>
      <c r="C623" s="13"/>
      <c r="D623" s="15"/>
      <c r="E623" s="15"/>
      <c r="F623" s="16" t="s">
        <v>39</v>
      </c>
      <c r="G623" s="15" t="n">
        <v>7</v>
      </c>
      <c r="H623" s="13"/>
    </row>
    <row r="624" customFormat="false" ht="15" hidden="false" customHeight="false" outlineLevel="0" collapsed="false">
      <c r="A624" s="14" t="s">
        <v>867</v>
      </c>
      <c r="B624" s="14" t="s">
        <v>343</v>
      </c>
      <c r="C624" s="13"/>
      <c r="D624" s="15"/>
      <c r="E624" s="15"/>
      <c r="F624" s="16" t="s">
        <v>39</v>
      </c>
      <c r="G624" s="15" t="n">
        <v>7</v>
      </c>
      <c r="H624" s="13"/>
    </row>
    <row r="625" customFormat="false" ht="15" hidden="false" customHeight="false" outlineLevel="0" collapsed="false">
      <c r="A625" s="14" t="s">
        <v>868</v>
      </c>
      <c r="B625" s="14" t="s">
        <v>343</v>
      </c>
      <c r="C625" s="13"/>
      <c r="D625" s="15"/>
      <c r="E625" s="15"/>
      <c r="F625" s="16" t="s">
        <v>39</v>
      </c>
      <c r="G625" s="15" t="n">
        <v>4</v>
      </c>
      <c r="H625" s="13"/>
    </row>
    <row r="626" customFormat="false" ht="29.85" hidden="false" customHeight="false" outlineLevel="0" collapsed="false">
      <c r="A626" s="14" t="s">
        <v>869</v>
      </c>
      <c r="B626" s="14" t="s">
        <v>346</v>
      </c>
      <c r="C626" s="13"/>
      <c r="D626" s="15"/>
      <c r="E626" s="15"/>
      <c r="F626" s="16" t="s">
        <v>39</v>
      </c>
      <c r="G626" s="15" t="n">
        <v>30</v>
      </c>
      <c r="H626" s="13"/>
    </row>
    <row r="627" customFormat="false" ht="29.85" hidden="false" customHeight="false" outlineLevel="0" collapsed="false">
      <c r="A627" s="14" t="s">
        <v>870</v>
      </c>
      <c r="B627" s="14" t="s">
        <v>346</v>
      </c>
      <c r="C627" s="13"/>
      <c r="D627" s="15"/>
      <c r="E627" s="15"/>
      <c r="F627" s="16" t="s">
        <v>39</v>
      </c>
      <c r="G627" s="15" t="n">
        <v>0</v>
      </c>
      <c r="H627" s="13"/>
    </row>
    <row r="628" customFormat="false" ht="15" hidden="false" customHeight="false" outlineLevel="0" collapsed="false">
      <c r="A628" s="10" t="s">
        <v>871</v>
      </c>
      <c r="B628" s="10" t="s">
        <v>119</v>
      </c>
      <c r="C628" s="10" t="s">
        <v>57</v>
      </c>
      <c r="D628" s="11"/>
      <c r="E628" s="11"/>
      <c r="F628" s="12" t="s">
        <v>35</v>
      </c>
      <c r="G628" s="11" t="n">
        <v>20</v>
      </c>
      <c r="H628" s="9"/>
    </row>
    <row r="629" customFormat="false" ht="15" hidden="false" customHeight="false" outlineLevel="0" collapsed="false">
      <c r="A629" s="14" t="s">
        <v>872</v>
      </c>
      <c r="B629" s="14" t="s">
        <v>873</v>
      </c>
      <c r="C629" s="13"/>
      <c r="D629" s="15"/>
      <c r="E629" s="15"/>
      <c r="F629" s="16" t="s">
        <v>39</v>
      </c>
      <c r="G629" s="15" t="n">
        <v>90</v>
      </c>
      <c r="H629" s="13"/>
    </row>
    <row r="630" customFormat="false" ht="15" hidden="false" customHeight="false" outlineLevel="0" collapsed="false">
      <c r="A630" s="14" t="s">
        <v>874</v>
      </c>
      <c r="B630" s="14" t="s">
        <v>119</v>
      </c>
      <c r="C630" s="13"/>
      <c r="D630" s="15"/>
      <c r="E630" s="15"/>
      <c r="F630" s="16" t="s">
        <v>39</v>
      </c>
      <c r="G630" s="15" t="n">
        <v>0</v>
      </c>
      <c r="H630" s="13"/>
    </row>
    <row r="631" customFormat="false" ht="15" hidden="false" customHeight="false" outlineLevel="0" collapsed="false">
      <c r="A631" s="10" t="s">
        <v>875</v>
      </c>
      <c r="B631" s="10" t="s">
        <v>119</v>
      </c>
      <c r="C631" s="10" t="s">
        <v>57</v>
      </c>
      <c r="D631" s="11"/>
      <c r="E631" s="11"/>
      <c r="F631" s="12" t="s">
        <v>35</v>
      </c>
      <c r="G631" s="11" t="n">
        <v>0</v>
      </c>
      <c r="H631" s="9"/>
    </row>
    <row r="632" customFormat="false" ht="15" hidden="false" customHeight="false" outlineLevel="0" collapsed="false">
      <c r="A632" s="14" t="s">
        <v>876</v>
      </c>
      <c r="B632" s="14" t="s">
        <v>343</v>
      </c>
      <c r="C632" s="13"/>
      <c r="D632" s="15"/>
      <c r="E632" s="15"/>
      <c r="F632" s="16" t="s">
        <v>39</v>
      </c>
      <c r="G632" s="15" t="n">
        <v>7</v>
      </c>
      <c r="H632" s="13"/>
    </row>
    <row r="633" customFormat="false" ht="15" hidden="false" customHeight="false" outlineLevel="0" collapsed="false">
      <c r="A633" s="14" t="s">
        <v>877</v>
      </c>
      <c r="B633" s="14" t="s">
        <v>878</v>
      </c>
      <c r="C633" s="13"/>
      <c r="D633" s="15"/>
      <c r="E633" s="15"/>
      <c r="F633" s="16" t="s">
        <v>39</v>
      </c>
      <c r="G633" s="15" t="n">
        <v>30</v>
      </c>
      <c r="H633" s="13"/>
    </row>
    <row r="634" customFormat="false" ht="29.85" hidden="false" customHeight="false" outlineLevel="0" collapsed="false">
      <c r="A634" s="10" t="s">
        <v>879</v>
      </c>
      <c r="B634" s="10" t="s">
        <v>219</v>
      </c>
      <c r="C634" s="10" t="s">
        <v>35</v>
      </c>
      <c r="D634" s="11"/>
      <c r="E634" s="11"/>
      <c r="F634" s="12" t="s">
        <v>35</v>
      </c>
      <c r="G634" s="11" t="n">
        <v>0</v>
      </c>
      <c r="H634" s="9"/>
    </row>
    <row r="635" customFormat="false" ht="15" hidden="false" customHeight="false" outlineLevel="0" collapsed="false">
      <c r="A635" s="14" t="s">
        <v>880</v>
      </c>
      <c r="B635" s="14" t="s">
        <v>331</v>
      </c>
      <c r="C635" s="13"/>
      <c r="D635" s="15"/>
      <c r="E635" s="15"/>
      <c r="F635" s="16" t="s">
        <v>39</v>
      </c>
      <c r="G635" s="15" t="n">
        <v>0</v>
      </c>
      <c r="H635" s="13"/>
    </row>
    <row r="636" customFormat="false" ht="15" hidden="false" customHeight="false" outlineLevel="0" collapsed="false">
      <c r="A636" s="14" t="s">
        <v>881</v>
      </c>
      <c r="B636" s="14" t="s">
        <v>331</v>
      </c>
      <c r="C636" s="13"/>
      <c r="D636" s="15"/>
      <c r="E636" s="15"/>
      <c r="F636" s="16" t="s">
        <v>39</v>
      </c>
      <c r="G636" s="15" t="n">
        <v>0</v>
      </c>
      <c r="H636" s="13"/>
    </row>
    <row r="637" customFormat="false" ht="15" hidden="false" customHeight="false" outlineLevel="0" collapsed="false">
      <c r="A637" s="14" t="s">
        <v>882</v>
      </c>
      <c r="B637" s="14" t="s">
        <v>43</v>
      </c>
      <c r="C637" s="13"/>
      <c r="D637" s="15"/>
      <c r="E637" s="15"/>
      <c r="F637" s="16" t="s">
        <v>39</v>
      </c>
      <c r="G637" s="15" t="n">
        <v>0</v>
      </c>
      <c r="H637" s="13"/>
    </row>
    <row r="638" customFormat="false" ht="15" hidden="false" customHeight="false" outlineLevel="0" collapsed="false">
      <c r="A638" s="14" t="s">
        <v>883</v>
      </c>
      <c r="B638" s="14" t="s">
        <v>82</v>
      </c>
      <c r="C638" s="13"/>
      <c r="D638" s="15"/>
      <c r="E638" s="15"/>
      <c r="F638" s="16" t="s">
        <v>39</v>
      </c>
      <c r="G638" s="15" t="n">
        <v>4</v>
      </c>
      <c r="H638" s="13"/>
    </row>
    <row r="639" customFormat="false" ht="15" hidden="false" customHeight="false" outlineLevel="0" collapsed="false">
      <c r="A639" s="18" t="s">
        <v>884</v>
      </c>
      <c r="B639" s="18" t="s">
        <v>138</v>
      </c>
      <c r="C639" s="17" t="s">
        <v>829</v>
      </c>
      <c r="D639" s="20"/>
      <c r="E639" s="20"/>
      <c r="F639" s="20" t="s">
        <v>47</v>
      </c>
      <c r="G639" s="20" t="n">
        <v>0</v>
      </c>
      <c r="H639" s="17"/>
    </row>
    <row r="640" customFormat="false" ht="15" hidden="false" customHeight="false" outlineLevel="0" collapsed="false">
      <c r="A640" s="18" t="s">
        <v>885</v>
      </c>
      <c r="B640" s="18" t="s">
        <v>138</v>
      </c>
      <c r="C640" s="18" t="s">
        <v>831</v>
      </c>
      <c r="D640" s="20"/>
      <c r="E640" s="20"/>
      <c r="F640" s="20" t="s">
        <v>47</v>
      </c>
      <c r="G640" s="20" t="n">
        <v>0</v>
      </c>
      <c r="H640" s="17"/>
    </row>
    <row r="641" customFormat="false" ht="15" hidden="false" customHeight="false" outlineLevel="0" collapsed="false">
      <c r="A641" s="10" t="s">
        <v>886</v>
      </c>
      <c r="B641" s="10" t="s">
        <v>315</v>
      </c>
      <c r="C641" s="10" t="s">
        <v>887</v>
      </c>
      <c r="D641" s="11"/>
      <c r="E641" s="11"/>
      <c r="F641" s="12" t="s">
        <v>35</v>
      </c>
      <c r="G641" s="11" t="n">
        <v>7</v>
      </c>
      <c r="H641" s="9"/>
    </row>
    <row r="642" customFormat="false" ht="15" hidden="false" customHeight="false" outlineLevel="0" collapsed="false">
      <c r="A642" s="10" t="s">
        <v>888</v>
      </c>
      <c r="B642" s="10" t="s">
        <v>315</v>
      </c>
      <c r="C642" s="10" t="s">
        <v>887</v>
      </c>
      <c r="D642" s="11"/>
      <c r="E642" s="11"/>
      <c r="F642" s="12" t="s">
        <v>35</v>
      </c>
      <c r="G642" s="11" t="n">
        <v>7</v>
      </c>
      <c r="H642" s="9"/>
    </row>
    <row r="643" customFormat="false" ht="15" hidden="false" customHeight="false" outlineLevel="0" collapsed="false">
      <c r="A643" s="10" t="s">
        <v>889</v>
      </c>
      <c r="B643" s="10" t="s">
        <v>51</v>
      </c>
      <c r="C643" s="10" t="s">
        <v>57</v>
      </c>
      <c r="D643" s="11"/>
      <c r="E643" s="11"/>
      <c r="F643" s="12" t="s">
        <v>35</v>
      </c>
      <c r="G643" s="11" t="n">
        <v>14</v>
      </c>
      <c r="H643" s="9"/>
    </row>
    <row r="644" customFormat="false" ht="15" hidden="false" customHeight="false" outlineLevel="0" collapsed="false">
      <c r="A644" s="10" t="s">
        <v>890</v>
      </c>
      <c r="B644" s="10" t="s">
        <v>51</v>
      </c>
      <c r="C644" s="10" t="s">
        <v>57</v>
      </c>
      <c r="D644" s="11"/>
      <c r="E644" s="11"/>
      <c r="F644" s="12" t="s">
        <v>35</v>
      </c>
      <c r="G644" s="11" t="n">
        <v>60</v>
      </c>
      <c r="H644" s="9"/>
    </row>
    <row r="645" customFormat="false" ht="15" hidden="false" customHeight="false" outlineLevel="0" collapsed="false">
      <c r="A645" s="10" t="s">
        <v>891</v>
      </c>
      <c r="B645" s="10" t="s">
        <v>51</v>
      </c>
      <c r="C645" s="10" t="s">
        <v>57</v>
      </c>
      <c r="D645" s="11"/>
      <c r="E645" s="11"/>
      <c r="F645" s="12" t="s">
        <v>35</v>
      </c>
      <c r="G645" s="11" t="n">
        <v>30</v>
      </c>
      <c r="H645" s="9"/>
    </row>
    <row r="646" customFormat="false" ht="15" hidden="false" customHeight="false" outlineLevel="0" collapsed="false">
      <c r="A646" s="10" t="s">
        <v>892</v>
      </c>
      <c r="B646" s="10" t="s">
        <v>51</v>
      </c>
      <c r="C646" s="10" t="s">
        <v>57</v>
      </c>
      <c r="D646" s="11"/>
      <c r="E646" s="11"/>
      <c r="F646" s="12" t="s">
        <v>35</v>
      </c>
      <c r="G646" s="11" t="n">
        <v>60</v>
      </c>
      <c r="H646" s="9"/>
    </row>
    <row r="647" customFormat="false" ht="15" hidden="false" customHeight="false" outlineLevel="0" collapsed="false">
      <c r="A647" s="14" t="s">
        <v>893</v>
      </c>
      <c r="B647" s="14" t="s">
        <v>51</v>
      </c>
      <c r="C647" s="13"/>
      <c r="D647" s="15"/>
      <c r="E647" s="15"/>
      <c r="F647" s="16" t="s">
        <v>39</v>
      </c>
      <c r="G647" s="15" t="n">
        <v>20</v>
      </c>
      <c r="H647" s="13"/>
    </row>
    <row r="648" customFormat="false" ht="15" hidden="false" customHeight="false" outlineLevel="0" collapsed="false">
      <c r="A648" s="14" t="s">
        <v>894</v>
      </c>
      <c r="B648" s="14" t="s">
        <v>51</v>
      </c>
      <c r="C648" s="13"/>
      <c r="D648" s="15"/>
      <c r="E648" s="15"/>
      <c r="F648" s="16" t="s">
        <v>39</v>
      </c>
      <c r="G648" s="15" t="n">
        <v>20</v>
      </c>
      <c r="H648" s="13"/>
    </row>
    <row r="649" customFormat="false" ht="15" hidden="false" customHeight="false" outlineLevel="0" collapsed="false">
      <c r="A649" s="10" t="s">
        <v>895</v>
      </c>
      <c r="B649" s="10" t="s">
        <v>119</v>
      </c>
      <c r="C649" s="10" t="s">
        <v>57</v>
      </c>
      <c r="D649" s="11"/>
      <c r="E649" s="11"/>
      <c r="F649" s="12" t="s">
        <v>35</v>
      </c>
      <c r="G649" s="11" t="n">
        <v>0</v>
      </c>
      <c r="H649" s="9"/>
    </row>
    <row r="650" customFormat="false" ht="29.85" hidden="false" customHeight="false" outlineLevel="0" collapsed="false">
      <c r="A650" s="14" t="s">
        <v>896</v>
      </c>
      <c r="B650" s="14" t="s">
        <v>38</v>
      </c>
      <c r="C650" s="13"/>
      <c r="D650" s="15"/>
      <c r="E650" s="15"/>
      <c r="F650" s="16" t="s">
        <v>39</v>
      </c>
      <c r="G650" s="15" t="n">
        <v>3</v>
      </c>
      <c r="H650" s="13"/>
    </row>
    <row r="651" customFormat="false" ht="29.85" hidden="false" customHeight="false" outlineLevel="0" collapsed="false">
      <c r="A651" s="14" t="s">
        <v>897</v>
      </c>
      <c r="B651" s="14" t="s">
        <v>38</v>
      </c>
      <c r="C651" s="13"/>
      <c r="D651" s="15"/>
      <c r="E651" s="15"/>
      <c r="F651" s="16" t="s">
        <v>39</v>
      </c>
      <c r="G651" s="15" t="n">
        <v>3</v>
      </c>
      <c r="H651" s="13"/>
    </row>
    <row r="652" customFormat="false" ht="15" hidden="false" customHeight="false" outlineLevel="0" collapsed="false">
      <c r="A652" s="18" t="s">
        <v>898</v>
      </c>
      <c r="B652" s="18" t="s">
        <v>315</v>
      </c>
      <c r="C652" s="17" t="s">
        <v>899</v>
      </c>
      <c r="D652" s="20"/>
      <c r="E652" s="20"/>
      <c r="F652" s="20" t="s">
        <v>47</v>
      </c>
      <c r="G652" s="20" t="n">
        <v>0</v>
      </c>
      <c r="H652" s="17"/>
    </row>
    <row r="653" customFormat="false" ht="44" hidden="false" customHeight="false" outlineLevel="0" collapsed="false">
      <c r="A653" s="22" t="s">
        <v>900</v>
      </c>
      <c r="B653" s="22" t="s">
        <v>901</v>
      </c>
      <c r="C653" s="22" t="s">
        <v>902</v>
      </c>
      <c r="D653" s="23"/>
      <c r="E653" s="23"/>
      <c r="F653" s="24" t="s">
        <v>903</v>
      </c>
      <c r="G653" s="23" t="n">
        <v>10</v>
      </c>
      <c r="H653" s="22"/>
    </row>
    <row r="654" customFormat="false" ht="15" hidden="false" customHeight="false" outlineLevel="0" collapsed="false">
      <c r="A654" s="14" t="s">
        <v>904</v>
      </c>
      <c r="B654" s="14" t="s">
        <v>901</v>
      </c>
      <c r="C654" s="13"/>
      <c r="D654" s="15"/>
      <c r="E654" s="15"/>
      <c r="F654" s="16" t="s">
        <v>39</v>
      </c>
      <c r="G654" s="15" t="n">
        <v>14</v>
      </c>
      <c r="H654" s="13"/>
    </row>
    <row r="655" customFormat="false" ht="72.35" hidden="false" customHeight="false" outlineLevel="0" collapsed="false">
      <c r="A655" s="18" t="s">
        <v>905</v>
      </c>
      <c r="B655" s="18" t="s">
        <v>906</v>
      </c>
      <c r="C655" s="17" t="s">
        <v>907</v>
      </c>
      <c r="D655" s="19" t="n">
        <v>20000</v>
      </c>
      <c r="E655" s="19" t="n">
        <v>60000</v>
      </c>
      <c r="F655" s="20" t="s">
        <v>47</v>
      </c>
      <c r="G655" s="20" t="n">
        <v>14</v>
      </c>
      <c r="H655" s="17"/>
    </row>
    <row r="656" customFormat="false" ht="15" hidden="false" customHeight="false" outlineLevel="0" collapsed="false">
      <c r="A656" s="10" t="s">
        <v>908</v>
      </c>
      <c r="B656" s="10" t="s">
        <v>909</v>
      </c>
      <c r="C656" s="10" t="s">
        <v>57</v>
      </c>
      <c r="D656" s="11"/>
      <c r="E656" s="11"/>
      <c r="F656" s="12" t="s">
        <v>35</v>
      </c>
      <c r="G656" s="11" t="n">
        <v>3</v>
      </c>
      <c r="H656" s="9"/>
    </row>
    <row r="657" customFormat="false" ht="29.85" hidden="false" customHeight="false" outlineLevel="0" collapsed="false">
      <c r="A657" s="10" t="s">
        <v>910</v>
      </c>
      <c r="B657" s="10" t="s">
        <v>909</v>
      </c>
      <c r="C657" s="10" t="s">
        <v>57</v>
      </c>
      <c r="D657" s="11"/>
      <c r="E657" s="11"/>
      <c r="F657" s="12" t="s">
        <v>35</v>
      </c>
      <c r="G657" s="11" t="n">
        <v>0</v>
      </c>
      <c r="H657" s="9"/>
    </row>
    <row r="658" customFormat="false" ht="15" hidden="false" customHeight="false" outlineLevel="0" collapsed="false">
      <c r="A658" s="18" t="s">
        <v>911</v>
      </c>
      <c r="B658" s="18" t="s">
        <v>82</v>
      </c>
      <c r="C658" s="18" t="s">
        <v>912</v>
      </c>
      <c r="D658" s="19" t="n">
        <v>20000</v>
      </c>
      <c r="E658" s="19" t="n">
        <v>30000</v>
      </c>
      <c r="F658" s="20" t="s">
        <v>47</v>
      </c>
      <c r="G658" s="20" t="n">
        <v>7</v>
      </c>
      <c r="H658" s="17"/>
    </row>
    <row r="659" customFormat="false" ht="15" hidden="false" customHeight="false" outlineLevel="0" collapsed="false">
      <c r="A659" s="14" t="s">
        <v>913</v>
      </c>
      <c r="B659" s="14" t="s">
        <v>241</v>
      </c>
      <c r="C659" s="13"/>
      <c r="D659" s="15"/>
      <c r="E659" s="15"/>
      <c r="F659" s="16" t="s">
        <v>39</v>
      </c>
      <c r="G659" s="15" t="n">
        <v>14</v>
      </c>
      <c r="H659" s="13"/>
    </row>
    <row r="660" customFormat="false" ht="15" hidden="false" customHeight="false" outlineLevel="0" collapsed="false">
      <c r="A660" s="10" t="s">
        <v>914</v>
      </c>
      <c r="B660" s="10" t="s">
        <v>241</v>
      </c>
      <c r="C660" s="10" t="s">
        <v>57</v>
      </c>
      <c r="D660" s="11"/>
      <c r="E660" s="11"/>
      <c r="F660" s="12" t="s">
        <v>35</v>
      </c>
      <c r="G660" s="11" t="n">
        <v>30</v>
      </c>
      <c r="H660" s="9"/>
    </row>
    <row r="661" customFormat="false" ht="15" hidden="false" customHeight="false" outlineLevel="0" collapsed="false">
      <c r="A661" s="10" t="s">
        <v>915</v>
      </c>
      <c r="B661" s="10" t="s">
        <v>241</v>
      </c>
      <c r="C661" s="10" t="s">
        <v>57</v>
      </c>
      <c r="D661" s="11"/>
      <c r="E661" s="11"/>
      <c r="F661" s="12" t="s">
        <v>35</v>
      </c>
      <c r="G661" s="11" t="n">
        <v>10</v>
      </c>
      <c r="H661" s="9"/>
    </row>
    <row r="662" customFormat="false" ht="15" hidden="false" customHeight="false" outlineLevel="0" collapsed="false">
      <c r="A662" s="10" t="s">
        <v>916</v>
      </c>
      <c r="B662" s="10" t="s">
        <v>241</v>
      </c>
      <c r="C662" s="10" t="s">
        <v>57</v>
      </c>
      <c r="D662" s="11"/>
      <c r="E662" s="11"/>
      <c r="F662" s="12" t="s">
        <v>35</v>
      </c>
      <c r="G662" s="11" t="n">
        <v>5</v>
      </c>
      <c r="H662" s="9"/>
    </row>
    <row r="663" customFormat="false" ht="29.85" hidden="false" customHeight="false" outlineLevel="0" collapsed="false">
      <c r="A663" s="10" t="s">
        <v>917</v>
      </c>
      <c r="B663" s="10" t="s">
        <v>241</v>
      </c>
      <c r="C663" s="10" t="s">
        <v>918</v>
      </c>
      <c r="D663" s="21" t="n">
        <v>40000</v>
      </c>
      <c r="E663" s="21" t="n">
        <v>100000</v>
      </c>
      <c r="F663" s="12" t="s">
        <v>35</v>
      </c>
      <c r="G663" s="11" t="n">
        <v>10</v>
      </c>
      <c r="H663" s="9"/>
    </row>
    <row r="664" customFormat="false" ht="15" hidden="false" customHeight="false" outlineLevel="0" collapsed="false">
      <c r="A664" s="14" t="s">
        <v>919</v>
      </c>
      <c r="B664" s="14" t="s">
        <v>241</v>
      </c>
      <c r="C664" s="13"/>
      <c r="D664" s="15"/>
      <c r="E664" s="15"/>
      <c r="F664" s="16" t="s">
        <v>39</v>
      </c>
      <c r="G664" s="15" t="n">
        <v>25</v>
      </c>
      <c r="H664" s="13"/>
    </row>
    <row r="665" customFormat="false" ht="15" hidden="false" customHeight="false" outlineLevel="0" collapsed="false">
      <c r="A665" s="10" t="s">
        <v>920</v>
      </c>
      <c r="B665" s="10" t="s">
        <v>241</v>
      </c>
      <c r="C665" s="10" t="s">
        <v>57</v>
      </c>
      <c r="D665" s="11"/>
      <c r="E665" s="11"/>
      <c r="F665" s="12" t="s">
        <v>35</v>
      </c>
      <c r="G665" s="11" t="n">
        <v>10</v>
      </c>
      <c r="H665" s="9"/>
    </row>
    <row r="666" customFormat="false" ht="15" hidden="false" customHeight="false" outlineLevel="0" collapsed="false">
      <c r="A666" s="10" t="s">
        <v>921</v>
      </c>
      <c r="B666" s="10" t="s">
        <v>241</v>
      </c>
      <c r="C666" s="10" t="s">
        <v>57</v>
      </c>
      <c r="D666" s="11"/>
      <c r="E666" s="11"/>
      <c r="F666" s="12" t="s">
        <v>35</v>
      </c>
      <c r="G666" s="11" t="n">
        <v>5</v>
      </c>
      <c r="H666" s="9"/>
    </row>
    <row r="667" customFormat="false" ht="29.85" hidden="false" customHeight="false" outlineLevel="0" collapsed="false">
      <c r="A667" s="10" t="s">
        <v>922</v>
      </c>
      <c r="B667" s="10" t="s">
        <v>92</v>
      </c>
      <c r="C667" s="10" t="s">
        <v>34</v>
      </c>
      <c r="D667" s="11"/>
      <c r="E667" s="11"/>
      <c r="F667" s="12" t="s">
        <v>35</v>
      </c>
      <c r="G667" s="11" t="n">
        <v>5</v>
      </c>
      <c r="H667" s="9"/>
    </row>
    <row r="668" customFormat="false" ht="29.85" hidden="false" customHeight="false" outlineLevel="0" collapsed="false">
      <c r="A668" s="14" t="s">
        <v>923</v>
      </c>
      <c r="B668" s="14" t="s">
        <v>77</v>
      </c>
      <c r="C668" s="14" t="s">
        <v>924</v>
      </c>
      <c r="D668" s="15"/>
      <c r="E668" s="15"/>
      <c r="F668" s="16" t="s">
        <v>39</v>
      </c>
      <c r="G668" s="15" t="n">
        <v>0</v>
      </c>
      <c r="H668" s="13"/>
    </row>
    <row r="669" customFormat="false" ht="15" hidden="false" customHeight="false" outlineLevel="0" collapsed="false">
      <c r="A669" s="18" t="s">
        <v>925</v>
      </c>
      <c r="B669" s="18" t="s">
        <v>926</v>
      </c>
      <c r="C669" s="18" t="s">
        <v>927</v>
      </c>
      <c r="D669" s="19" t="n">
        <v>5000</v>
      </c>
      <c r="E669" s="19" t="n">
        <v>5000</v>
      </c>
      <c r="F669" s="20" t="s">
        <v>47</v>
      </c>
      <c r="G669" s="20" t="n">
        <v>10</v>
      </c>
      <c r="H669" s="17"/>
    </row>
    <row r="670" customFormat="false" ht="15" hidden="false" customHeight="false" outlineLevel="0" collapsed="false">
      <c r="A670" s="18" t="s">
        <v>928</v>
      </c>
      <c r="B670" s="18" t="s">
        <v>929</v>
      </c>
      <c r="C670" s="18" t="s">
        <v>927</v>
      </c>
      <c r="D670" s="19" t="n">
        <v>5000</v>
      </c>
      <c r="E670" s="19" t="n">
        <v>5000</v>
      </c>
      <c r="F670" s="20" t="s">
        <v>47</v>
      </c>
      <c r="G670" s="20" t="n">
        <v>10</v>
      </c>
      <c r="H670" s="17"/>
    </row>
    <row r="671" customFormat="false" ht="15" hidden="false" customHeight="false" outlineLevel="0" collapsed="false">
      <c r="A671" s="18" t="s">
        <v>930</v>
      </c>
      <c r="B671" s="18" t="s">
        <v>124</v>
      </c>
      <c r="C671" s="17" t="s">
        <v>931</v>
      </c>
      <c r="D671" s="19" t="n">
        <v>890</v>
      </c>
      <c r="E671" s="19" t="n">
        <v>890</v>
      </c>
      <c r="F671" s="20" t="s">
        <v>47</v>
      </c>
      <c r="G671" s="20" t="n">
        <v>0</v>
      </c>
      <c r="H671" s="17"/>
    </row>
    <row r="672" customFormat="false" ht="15" hidden="false" customHeight="false" outlineLevel="0" collapsed="false">
      <c r="A672" s="18" t="s">
        <v>932</v>
      </c>
      <c r="B672" s="18" t="s">
        <v>124</v>
      </c>
      <c r="C672" s="18" t="s">
        <v>933</v>
      </c>
      <c r="D672" s="19" t="n">
        <v>3000</v>
      </c>
      <c r="E672" s="19" t="n">
        <v>5500</v>
      </c>
      <c r="F672" s="20" t="s">
        <v>47</v>
      </c>
      <c r="G672" s="20" t="n">
        <v>0</v>
      </c>
      <c r="H672" s="17"/>
    </row>
    <row r="673" customFormat="false" ht="29.85" hidden="false" customHeight="false" outlineLevel="0" collapsed="false">
      <c r="A673" s="14" t="s">
        <v>934</v>
      </c>
      <c r="B673" s="14" t="s">
        <v>77</v>
      </c>
      <c r="C673" s="13"/>
      <c r="D673" s="15"/>
      <c r="E673" s="15"/>
      <c r="F673" s="16" t="s">
        <v>39</v>
      </c>
      <c r="G673" s="15" t="n">
        <v>0</v>
      </c>
      <c r="H673" s="13"/>
    </row>
    <row r="674" customFormat="false" ht="29.85" hidden="false" customHeight="false" outlineLevel="0" collapsed="false">
      <c r="A674" s="14" t="s">
        <v>935</v>
      </c>
      <c r="B674" s="14" t="s">
        <v>77</v>
      </c>
      <c r="C674" s="13"/>
      <c r="D674" s="15"/>
      <c r="E674" s="15"/>
      <c r="F674" s="16" t="s">
        <v>39</v>
      </c>
      <c r="G674" s="15" t="n">
        <v>0</v>
      </c>
      <c r="H674" s="13"/>
    </row>
    <row r="675" customFormat="false" ht="29.85" hidden="false" customHeight="false" outlineLevel="0" collapsed="false">
      <c r="A675" s="14" t="s">
        <v>936</v>
      </c>
      <c r="B675" s="14" t="s">
        <v>41</v>
      </c>
      <c r="C675" s="13"/>
      <c r="D675" s="15"/>
      <c r="E675" s="15"/>
      <c r="F675" s="16" t="s">
        <v>39</v>
      </c>
      <c r="G675" s="15" t="n">
        <v>8</v>
      </c>
      <c r="H675" s="13"/>
    </row>
    <row r="676" customFormat="false" ht="15" hidden="false" customHeight="false" outlineLevel="0" collapsed="false">
      <c r="A676" s="14" t="s">
        <v>937</v>
      </c>
      <c r="B676" s="14" t="s">
        <v>49</v>
      </c>
      <c r="C676" s="13"/>
      <c r="D676" s="15"/>
      <c r="E676" s="15"/>
      <c r="F676" s="16" t="s">
        <v>39</v>
      </c>
      <c r="G676" s="15" t="n">
        <v>8</v>
      </c>
      <c r="H676" s="13"/>
    </row>
    <row r="677" customFormat="false" ht="15" hidden="false" customHeight="false" outlineLevel="0" collapsed="false">
      <c r="A677" s="14" t="s">
        <v>938</v>
      </c>
      <c r="B677" s="14" t="s">
        <v>49</v>
      </c>
      <c r="C677" s="13"/>
      <c r="D677" s="15"/>
      <c r="E677" s="15"/>
      <c r="F677" s="16" t="s">
        <v>39</v>
      </c>
      <c r="G677" s="15" t="n">
        <v>0</v>
      </c>
      <c r="H677" s="13"/>
    </row>
    <row r="678" customFormat="false" ht="15" hidden="false" customHeight="false" outlineLevel="0" collapsed="false">
      <c r="A678" s="14" t="s">
        <v>939</v>
      </c>
      <c r="B678" s="14" t="s">
        <v>45</v>
      </c>
      <c r="C678" s="13"/>
      <c r="D678" s="15"/>
      <c r="E678" s="15"/>
      <c r="F678" s="16" t="s">
        <v>39</v>
      </c>
      <c r="G678" s="15" t="n">
        <v>8</v>
      </c>
      <c r="H678" s="13"/>
    </row>
    <row r="679" customFormat="false" ht="15" hidden="false" customHeight="false" outlineLevel="0" collapsed="false">
      <c r="A679" s="14" t="s">
        <v>940</v>
      </c>
      <c r="B679" s="14" t="s">
        <v>45</v>
      </c>
      <c r="C679" s="13"/>
      <c r="D679" s="15"/>
      <c r="E679" s="15"/>
      <c r="F679" s="16" t="s">
        <v>39</v>
      </c>
      <c r="G679" s="15" t="n">
        <v>0</v>
      </c>
      <c r="H679" s="13"/>
    </row>
    <row r="680" customFormat="false" ht="29.85" hidden="false" customHeight="false" outlineLevel="0" collapsed="false">
      <c r="A680" s="14" t="s">
        <v>941</v>
      </c>
      <c r="B680" s="14" t="s">
        <v>566</v>
      </c>
      <c r="C680" s="13"/>
      <c r="D680" s="15"/>
      <c r="E680" s="15"/>
      <c r="F680" s="16" t="s">
        <v>39</v>
      </c>
      <c r="G680" s="15" t="n">
        <v>0</v>
      </c>
      <c r="H680" s="13"/>
    </row>
    <row r="681" customFormat="false" ht="15" hidden="false" customHeight="false" outlineLevel="0" collapsed="false">
      <c r="A681" s="10" t="s">
        <v>942</v>
      </c>
      <c r="B681" s="9"/>
      <c r="C681" s="10" t="s">
        <v>57</v>
      </c>
      <c r="D681" s="11"/>
      <c r="E681" s="11"/>
      <c r="F681" s="12" t="s">
        <v>35</v>
      </c>
      <c r="G681" s="11" t="n">
        <v>0</v>
      </c>
      <c r="H681" s="9"/>
    </row>
    <row r="682" customFormat="false" ht="15" hidden="false" customHeight="false" outlineLevel="0" collapsed="false">
      <c r="A682" s="14" t="s">
        <v>943</v>
      </c>
      <c r="B682" s="14" t="s">
        <v>147</v>
      </c>
      <c r="C682" s="13"/>
      <c r="D682" s="15"/>
      <c r="E682" s="15"/>
      <c r="F682" s="16" t="s">
        <v>39</v>
      </c>
      <c r="G682" s="15" t="n">
        <v>7</v>
      </c>
      <c r="H682" s="13"/>
    </row>
    <row r="683" customFormat="false" ht="15" hidden="false" customHeight="false" outlineLevel="0" collapsed="false">
      <c r="A683" s="14" t="s">
        <v>944</v>
      </c>
      <c r="B683" s="14" t="s">
        <v>119</v>
      </c>
      <c r="C683" s="13"/>
      <c r="D683" s="15"/>
      <c r="E683" s="15"/>
      <c r="F683" s="16" t="s">
        <v>39</v>
      </c>
      <c r="G683" s="15" t="n">
        <v>0</v>
      </c>
      <c r="H683" s="13"/>
    </row>
    <row r="684" customFormat="false" ht="15" hidden="false" customHeight="false" outlineLevel="0" collapsed="false">
      <c r="A684" s="14" t="s">
        <v>945</v>
      </c>
      <c r="B684" s="14" t="s">
        <v>119</v>
      </c>
      <c r="C684" s="13"/>
      <c r="D684" s="15"/>
      <c r="E684" s="15"/>
      <c r="F684" s="16" t="s">
        <v>39</v>
      </c>
      <c r="G684" s="15" t="n">
        <v>0</v>
      </c>
      <c r="H684" s="13"/>
    </row>
    <row r="685" customFormat="false" ht="15" hidden="false" customHeight="false" outlineLevel="0" collapsed="false">
      <c r="A685" s="10" t="s">
        <v>946</v>
      </c>
      <c r="B685" s="10" t="s">
        <v>119</v>
      </c>
      <c r="C685" s="10" t="s">
        <v>35</v>
      </c>
      <c r="D685" s="11"/>
      <c r="E685" s="11"/>
      <c r="F685" s="12" t="s">
        <v>35</v>
      </c>
      <c r="G685" s="11" t="n">
        <v>0</v>
      </c>
      <c r="H685" s="9"/>
    </row>
    <row r="686" customFormat="false" ht="15" hidden="false" customHeight="false" outlineLevel="0" collapsed="false">
      <c r="A686" s="14" t="s">
        <v>947</v>
      </c>
      <c r="B686" s="14" t="s">
        <v>119</v>
      </c>
      <c r="C686" s="13"/>
      <c r="D686" s="15"/>
      <c r="E686" s="15"/>
      <c r="F686" s="16" t="s">
        <v>39</v>
      </c>
      <c r="G686" s="15" t="n">
        <v>0</v>
      </c>
      <c r="H686" s="13"/>
    </row>
    <row r="687" customFormat="false" ht="15" hidden="false" customHeight="false" outlineLevel="0" collapsed="false">
      <c r="A687" s="14" t="s">
        <v>948</v>
      </c>
      <c r="B687" s="14" t="s">
        <v>949</v>
      </c>
      <c r="C687" s="13"/>
      <c r="D687" s="15"/>
      <c r="E687" s="15"/>
      <c r="F687" s="16" t="s">
        <v>39</v>
      </c>
      <c r="G687" s="15" t="n">
        <v>0</v>
      </c>
      <c r="H687" s="13"/>
    </row>
    <row r="688" customFormat="false" ht="15" hidden="false" customHeight="false" outlineLevel="0" collapsed="false">
      <c r="A688" s="10" t="s">
        <v>950</v>
      </c>
      <c r="B688" s="10" t="s">
        <v>119</v>
      </c>
      <c r="C688" s="10" t="s">
        <v>57</v>
      </c>
      <c r="D688" s="11"/>
      <c r="E688" s="11"/>
      <c r="F688" s="12" t="s">
        <v>35</v>
      </c>
      <c r="G688" s="11" t="n">
        <v>0</v>
      </c>
      <c r="H688" s="9"/>
    </row>
    <row r="689" customFormat="false" ht="15" hidden="false" customHeight="false" outlineLevel="0" collapsed="false">
      <c r="A689" s="18" t="s">
        <v>951</v>
      </c>
      <c r="B689" s="18" t="s">
        <v>119</v>
      </c>
      <c r="C689" s="18" t="s">
        <v>952</v>
      </c>
      <c r="D689" s="19" t="n">
        <v>400</v>
      </c>
      <c r="E689" s="19" t="n">
        <v>500</v>
      </c>
      <c r="F689" s="20" t="s">
        <v>47</v>
      </c>
      <c r="G689" s="20" t="n">
        <v>0</v>
      </c>
      <c r="H689" s="17"/>
    </row>
    <row r="690" customFormat="false" ht="29.85" hidden="false" customHeight="false" outlineLevel="0" collapsed="false">
      <c r="A690" s="18" t="s">
        <v>953</v>
      </c>
      <c r="B690" s="18" t="s">
        <v>77</v>
      </c>
      <c r="C690" s="17" t="s">
        <v>954</v>
      </c>
      <c r="D690" s="19" t="n">
        <v>400</v>
      </c>
      <c r="E690" s="19" t="n">
        <v>500</v>
      </c>
      <c r="F690" s="20" t="s">
        <v>47</v>
      </c>
      <c r="G690" s="20" t="n">
        <v>0</v>
      </c>
      <c r="H690" s="17"/>
    </row>
    <row r="691" customFormat="false" ht="26.85" hidden="false" customHeight="false" outlineLevel="0" collapsed="false">
      <c r="A691" s="10" t="s">
        <v>955</v>
      </c>
      <c r="B691" s="10" t="s">
        <v>119</v>
      </c>
      <c r="C691" s="9" t="s">
        <v>956</v>
      </c>
      <c r="D691" s="21" t="n">
        <v>400</v>
      </c>
      <c r="E691" s="21" t="n">
        <v>400</v>
      </c>
      <c r="F691" s="12" t="s">
        <v>35</v>
      </c>
      <c r="G691" s="11" t="n">
        <v>0</v>
      </c>
      <c r="H691" s="9"/>
    </row>
    <row r="692" customFormat="false" ht="29.85" hidden="false" customHeight="false" outlineLevel="0" collapsed="false">
      <c r="A692" s="10" t="s">
        <v>957</v>
      </c>
      <c r="B692" s="10" t="s">
        <v>38</v>
      </c>
      <c r="C692" s="10" t="s">
        <v>57</v>
      </c>
      <c r="D692" s="11"/>
      <c r="E692" s="11"/>
      <c r="F692" s="12" t="s">
        <v>35</v>
      </c>
      <c r="G692" s="11" t="n">
        <v>0</v>
      </c>
      <c r="H692" s="9"/>
    </row>
    <row r="693" customFormat="false" ht="29.85" hidden="false" customHeight="false" outlineLevel="0" collapsed="false">
      <c r="A693" s="14" t="s">
        <v>958</v>
      </c>
      <c r="B693" s="14" t="s">
        <v>38</v>
      </c>
      <c r="C693" s="13"/>
      <c r="D693" s="15"/>
      <c r="E693" s="15"/>
      <c r="F693" s="16" t="s">
        <v>39</v>
      </c>
      <c r="G693" s="15" t="n">
        <v>0</v>
      </c>
      <c r="H693" s="13"/>
    </row>
    <row r="694" customFormat="false" ht="15" hidden="false" customHeight="false" outlineLevel="0" collapsed="false">
      <c r="A694" s="14" t="s">
        <v>959</v>
      </c>
      <c r="B694" s="14" t="s">
        <v>138</v>
      </c>
      <c r="C694" s="13"/>
      <c r="D694" s="15"/>
      <c r="E694" s="15"/>
      <c r="F694" s="16" t="s">
        <v>39</v>
      </c>
      <c r="G694" s="15" t="n">
        <v>0</v>
      </c>
      <c r="H694" s="13"/>
    </row>
    <row r="695" customFormat="false" ht="15" hidden="false" customHeight="false" outlineLevel="0" collapsed="false">
      <c r="A695" s="18" t="s">
        <v>960</v>
      </c>
      <c r="B695" s="18" t="s">
        <v>60</v>
      </c>
      <c r="C695" s="17" t="s">
        <v>961</v>
      </c>
      <c r="D695" s="19" t="n">
        <v>45000</v>
      </c>
      <c r="E695" s="19" t="n">
        <v>45000</v>
      </c>
      <c r="F695" s="20" t="s">
        <v>47</v>
      </c>
      <c r="G695" s="20" t="n">
        <v>45</v>
      </c>
      <c r="H695" s="17"/>
    </row>
    <row r="696" customFormat="false" ht="15" hidden="false" customHeight="false" outlineLevel="0" collapsed="false">
      <c r="A696" s="10" t="s">
        <v>962</v>
      </c>
      <c r="B696" s="10" t="s">
        <v>60</v>
      </c>
      <c r="C696" s="10" t="s">
        <v>57</v>
      </c>
      <c r="D696" s="11"/>
      <c r="E696" s="11"/>
      <c r="F696" s="12" t="s">
        <v>35</v>
      </c>
      <c r="G696" s="11" t="n">
        <v>12</v>
      </c>
      <c r="H696" s="9"/>
    </row>
    <row r="697" customFormat="false" ht="15" hidden="false" customHeight="false" outlineLevel="0" collapsed="false">
      <c r="A697" s="14" t="s">
        <v>963</v>
      </c>
      <c r="B697" s="14" t="s">
        <v>60</v>
      </c>
      <c r="C697" s="13"/>
      <c r="D697" s="15"/>
      <c r="E697" s="15"/>
      <c r="F697" s="16" t="s">
        <v>39</v>
      </c>
      <c r="G697" s="15" t="n">
        <v>7</v>
      </c>
      <c r="H697" s="13"/>
    </row>
    <row r="698" customFormat="false" ht="15" hidden="false" customHeight="false" outlineLevel="0" collapsed="false">
      <c r="A698" s="14" t="s">
        <v>964</v>
      </c>
      <c r="B698" s="14" t="s">
        <v>60</v>
      </c>
      <c r="C698" s="13"/>
      <c r="D698" s="15"/>
      <c r="E698" s="15"/>
      <c r="F698" s="16" t="s">
        <v>39</v>
      </c>
      <c r="G698" s="15" t="n">
        <v>15</v>
      </c>
      <c r="H698" s="13"/>
    </row>
    <row r="699" customFormat="false" ht="15" hidden="false" customHeight="false" outlineLevel="0" collapsed="false">
      <c r="A699" s="14" t="s">
        <v>965</v>
      </c>
      <c r="B699" s="14" t="s">
        <v>60</v>
      </c>
      <c r="C699" s="13"/>
      <c r="D699" s="15"/>
      <c r="E699" s="15"/>
      <c r="F699" s="16" t="s">
        <v>39</v>
      </c>
      <c r="G699" s="15" t="n">
        <v>20</v>
      </c>
      <c r="H699" s="13"/>
    </row>
    <row r="700" customFormat="false" ht="15" hidden="false" customHeight="false" outlineLevel="0" collapsed="false">
      <c r="A700" s="14" t="s">
        <v>966</v>
      </c>
      <c r="B700" s="14" t="s">
        <v>60</v>
      </c>
      <c r="C700" s="13"/>
      <c r="D700" s="15"/>
      <c r="E700" s="15"/>
      <c r="F700" s="16" t="s">
        <v>39</v>
      </c>
      <c r="G700" s="15" t="n">
        <v>2</v>
      </c>
      <c r="H700" s="13"/>
    </row>
    <row r="701" customFormat="false" ht="15" hidden="false" customHeight="false" outlineLevel="0" collapsed="false">
      <c r="A701" s="14" t="s">
        <v>967</v>
      </c>
      <c r="B701" s="14" t="s">
        <v>60</v>
      </c>
      <c r="C701" s="13"/>
      <c r="D701" s="15"/>
      <c r="E701" s="15"/>
      <c r="F701" s="16" t="s">
        <v>39</v>
      </c>
      <c r="G701" s="15" t="n">
        <v>2</v>
      </c>
      <c r="H701" s="13"/>
    </row>
    <row r="702" customFormat="false" ht="15" hidden="false" customHeight="false" outlineLevel="0" collapsed="false">
      <c r="A702" s="14" t="s">
        <v>968</v>
      </c>
      <c r="B702" s="14" t="s">
        <v>60</v>
      </c>
      <c r="C702" s="13"/>
      <c r="D702" s="15"/>
      <c r="E702" s="15"/>
      <c r="F702" s="16" t="s">
        <v>39</v>
      </c>
      <c r="G702" s="15" t="n">
        <v>2</v>
      </c>
      <c r="H702" s="13"/>
    </row>
    <row r="703" customFormat="false" ht="15" hidden="false" customHeight="false" outlineLevel="0" collapsed="false">
      <c r="A703" s="10" t="s">
        <v>969</v>
      </c>
      <c r="B703" s="10" t="s">
        <v>60</v>
      </c>
      <c r="C703" s="10" t="s">
        <v>34</v>
      </c>
      <c r="D703" s="11"/>
      <c r="E703" s="11"/>
      <c r="F703" s="12" t="s">
        <v>35</v>
      </c>
      <c r="G703" s="11" t="n">
        <v>15</v>
      </c>
      <c r="H703" s="9"/>
    </row>
    <row r="704" customFormat="false" ht="29.85" hidden="false" customHeight="false" outlineLevel="0" collapsed="false">
      <c r="A704" s="14" t="s">
        <v>970</v>
      </c>
      <c r="B704" s="14" t="s">
        <v>77</v>
      </c>
      <c r="C704" s="13"/>
      <c r="D704" s="15"/>
      <c r="E704" s="15"/>
      <c r="F704" s="16" t="s">
        <v>39</v>
      </c>
      <c r="G704" s="15" t="n">
        <v>0</v>
      </c>
      <c r="H704" s="13"/>
    </row>
    <row r="705" customFormat="false" ht="15" hidden="false" customHeight="false" outlineLevel="0" collapsed="false">
      <c r="A705" s="14" t="s">
        <v>971</v>
      </c>
      <c r="B705" s="14" t="s">
        <v>396</v>
      </c>
      <c r="C705" s="13"/>
      <c r="D705" s="15"/>
      <c r="E705" s="15"/>
      <c r="F705" s="16" t="s">
        <v>39</v>
      </c>
      <c r="G705" s="15" t="n">
        <v>7</v>
      </c>
      <c r="H705" s="13"/>
    </row>
    <row r="706" customFormat="false" ht="15" hidden="false" customHeight="false" outlineLevel="0" collapsed="false">
      <c r="A706" s="14" t="s">
        <v>972</v>
      </c>
      <c r="B706" s="14" t="s">
        <v>310</v>
      </c>
      <c r="C706" s="13"/>
      <c r="D706" s="15"/>
      <c r="E706" s="15"/>
      <c r="F706" s="16" t="s">
        <v>39</v>
      </c>
      <c r="G706" s="15" t="n">
        <v>10</v>
      </c>
      <c r="H706" s="13"/>
    </row>
    <row r="707" customFormat="false" ht="15" hidden="false" customHeight="false" outlineLevel="0" collapsed="false">
      <c r="A707" s="14" t="s">
        <v>973</v>
      </c>
      <c r="B707" s="14" t="s">
        <v>310</v>
      </c>
      <c r="C707" s="13"/>
      <c r="D707" s="15"/>
      <c r="E707" s="15"/>
      <c r="F707" s="16" t="s">
        <v>39</v>
      </c>
      <c r="G707" s="15" t="n">
        <v>0</v>
      </c>
      <c r="H707" s="13"/>
    </row>
    <row r="708" customFormat="false" ht="15" hidden="false" customHeight="false" outlineLevel="0" collapsed="false">
      <c r="A708" s="14" t="s">
        <v>974</v>
      </c>
      <c r="B708" s="14" t="s">
        <v>566</v>
      </c>
      <c r="C708" s="13"/>
      <c r="D708" s="15"/>
      <c r="E708" s="15"/>
      <c r="F708" s="16" t="s">
        <v>39</v>
      </c>
      <c r="G708" s="15" t="n">
        <v>0</v>
      </c>
      <c r="H708" s="13"/>
    </row>
    <row r="709" customFormat="false" ht="15" hidden="false" customHeight="false" outlineLevel="0" collapsed="false">
      <c r="A709" s="14" t="s">
        <v>975</v>
      </c>
      <c r="B709" s="14" t="s">
        <v>331</v>
      </c>
      <c r="C709" s="13"/>
      <c r="D709" s="15"/>
      <c r="E709" s="15"/>
      <c r="F709" s="16" t="s">
        <v>39</v>
      </c>
      <c r="G709" s="15" t="n">
        <v>5</v>
      </c>
      <c r="H709" s="13"/>
    </row>
    <row r="710" customFormat="false" ht="15" hidden="false" customHeight="false" outlineLevel="0" collapsed="false">
      <c r="A710" s="14" t="s">
        <v>976</v>
      </c>
      <c r="B710" s="14" t="s">
        <v>331</v>
      </c>
      <c r="C710" s="13"/>
      <c r="D710" s="15"/>
      <c r="E710" s="15"/>
      <c r="F710" s="16" t="s">
        <v>39</v>
      </c>
      <c r="G710" s="15" t="n">
        <v>5</v>
      </c>
      <c r="H710" s="13"/>
    </row>
    <row r="711" customFormat="false" ht="15" hidden="false" customHeight="false" outlineLevel="0" collapsed="false">
      <c r="A711" s="14" t="s">
        <v>977</v>
      </c>
      <c r="B711" s="14" t="s">
        <v>564</v>
      </c>
      <c r="C711" s="13"/>
      <c r="D711" s="15"/>
      <c r="E711" s="15"/>
      <c r="F711" s="16" t="s">
        <v>39</v>
      </c>
      <c r="G711" s="15" t="n">
        <v>60</v>
      </c>
      <c r="H711" s="13"/>
    </row>
    <row r="712" customFormat="false" ht="15" hidden="false" customHeight="false" outlineLevel="0" collapsed="false">
      <c r="A712" s="14" t="s">
        <v>978</v>
      </c>
      <c r="B712" s="14" t="s">
        <v>331</v>
      </c>
      <c r="C712" s="13"/>
      <c r="D712" s="15"/>
      <c r="E712" s="15"/>
      <c r="F712" s="16" t="s">
        <v>39</v>
      </c>
      <c r="G712" s="15" t="n">
        <v>0</v>
      </c>
      <c r="H712" s="13"/>
    </row>
    <row r="713" customFormat="false" ht="15" hidden="false" customHeight="false" outlineLevel="0" collapsed="false">
      <c r="A713" s="14" t="s">
        <v>979</v>
      </c>
      <c r="B713" s="14" t="s">
        <v>331</v>
      </c>
      <c r="C713" s="13"/>
      <c r="D713" s="15"/>
      <c r="E713" s="15"/>
      <c r="F713" s="16" t="s">
        <v>39</v>
      </c>
      <c r="G713" s="15" t="n">
        <v>3</v>
      </c>
      <c r="H713" s="13"/>
    </row>
    <row r="714" customFormat="false" ht="29.85" hidden="false" customHeight="false" outlineLevel="0" collapsed="false">
      <c r="A714" s="10" t="s">
        <v>980</v>
      </c>
      <c r="B714" s="10" t="s">
        <v>564</v>
      </c>
      <c r="C714" s="10" t="s">
        <v>981</v>
      </c>
      <c r="D714" s="21" t="n">
        <v>800</v>
      </c>
      <c r="E714" s="21" t="n">
        <v>800</v>
      </c>
      <c r="F714" s="12" t="s">
        <v>35</v>
      </c>
      <c r="G714" s="11" t="n">
        <v>0</v>
      </c>
      <c r="H714" s="9"/>
    </row>
    <row r="715" customFormat="false" ht="15" hidden="false" customHeight="false" outlineLevel="0" collapsed="false">
      <c r="A715" s="14" t="s">
        <v>982</v>
      </c>
      <c r="B715" s="14" t="s">
        <v>331</v>
      </c>
      <c r="C715" s="13"/>
      <c r="D715" s="15"/>
      <c r="E715" s="15"/>
      <c r="F715" s="16" t="s">
        <v>39</v>
      </c>
      <c r="G715" s="15" t="n">
        <v>10</v>
      </c>
      <c r="H715" s="13"/>
    </row>
    <row r="716" customFormat="false" ht="15" hidden="false" customHeight="false" outlineLevel="0" collapsed="false">
      <c r="A716" s="14" t="s">
        <v>983</v>
      </c>
      <c r="B716" s="14" t="s">
        <v>566</v>
      </c>
      <c r="C716" s="13"/>
      <c r="D716" s="15"/>
      <c r="E716" s="15"/>
      <c r="F716" s="16" t="s">
        <v>39</v>
      </c>
      <c r="G716" s="15" t="n">
        <v>0</v>
      </c>
      <c r="H716" s="13"/>
    </row>
    <row r="717" customFormat="false" ht="15" hidden="false" customHeight="false" outlineLevel="0" collapsed="false">
      <c r="A717" s="14" t="s">
        <v>984</v>
      </c>
      <c r="B717" s="14" t="s">
        <v>331</v>
      </c>
      <c r="C717" s="13"/>
      <c r="D717" s="15"/>
      <c r="E717" s="15"/>
      <c r="F717" s="16" t="s">
        <v>39</v>
      </c>
      <c r="G717" s="15" t="n">
        <v>0</v>
      </c>
      <c r="H717" s="13"/>
    </row>
    <row r="718" customFormat="false" ht="15" hidden="false" customHeight="false" outlineLevel="0" collapsed="false">
      <c r="A718" s="14" t="s">
        <v>985</v>
      </c>
      <c r="B718" s="14" t="s">
        <v>119</v>
      </c>
      <c r="C718" s="13"/>
      <c r="D718" s="15"/>
      <c r="E718" s="15"/>
      <c r="F718" s="16" t="s">
        <v>39</v>
      </c>
      <c r="G718" s="15" t="n">
        <v>0</v>
      </c>
      <c r="H718" s="13"/>
    </row>
    <row r="719" customFormat="false" ht="15" hidden="false" customHeight="false" outlineLevel="0" collapsed="false">
      <c r="A719" s="10" t="s">
        <v>986</v>
      </c>
      <c r="B719" s="10" t="s">
        <v>75</v>
      </c>
      <c r="C719" s="10" t="s">
        <v>57</v>
      </c>
      <c r="D719" s="11"/>
      <c r="E719" s="11"/>
      <c r="F719" s="12" t="s">
        <v>35</v>
      </c>
      <c r="G719" s="11" t="n">
        <v>14</v>
      </c>
      <c r="H719" s="9"/>
    </row>
    <row r="720" customFormat="false" ht="15" hidden="false" customHeight="false" outlineLevel="0" collapsed="false">
      <c r="A720" s="14" t="s">
        <v>987</v>
      </c>
      <c r="B720" s="14" t="s">
        <v>51</v>
      </c>
      <c r="C720" s="13"/>
      <c r="D720" s="15"/>
      <c r="E720" s="15"/>
      <c r="F720" s="16" t="s">
        <v>39</v>
      </c>
      <c r="G720" s="15" t="n">
        <v>4</v>
      </c>
      <c r="H720" s="13"/>
    </row>
    <row r="721" customFormat="false" ht="15" hidden="false" customHeight="false" outlineLevel="0" collapsed="false">
      <c r="A721" s="14" t="s">
        <v>988</v>
      </c>
      <c r="B721" s="14" t="s">
        <v>310</v>
      </c>
      <c r="C721" s="13"/>
      <c r="D721" s="15"/>
      <c r="E721" s="15"/>
      <c r="F721" s="16" t="s">
        <v>39</v>
      </c>
      <c r="G721" s="15" t="n">
        <v>7</v>
      </c>
      <c r="H721" s="13"/>
    </row>
    <row r="722" customFormat="false" ht="29.85" hidden="false" customHeight="false" outlineLevel="0" collapsed="false">
      <c r="A722" s="18" t="s">
        <v>989</v>
      </c>
      <c r="B722" s="18" t="s">
        <v>310</v>
      </c>
      <c r="C722" s="17" t="s">
        <v>990</v>
      </c>
      <c r="D722" s="19" t="n">
        <v>27000</v>
      </c>
      <c r="E722" s="19" t="n">
        <v>30000</v>
      </c>
      <c r="F722" s="20" t="s">
        <v>47</v>
      </c>
      <c r="G722" s="20" t="n">
        <v>30</v>
      </c>
      <c r="H722" s="17"/>
    </row>
    <row r="723" customFormat="false" ht="29.85" hidden="false" customHeight="false" outlineLevel="0" collapsed="false">
      <c r="A723" s="18" t="s">
        <v>991</v>
      </c>
      <c r="B723" s="18" t="s">
        <v>310</v>
      </c>
      <c r="C723" s="18" t="s">
        <v>992</v>
      </c>
      <c r="D723" s="19" t="n">
        <v>15000</v>
      </c>
      <c r="E723" s="19" t="n">
        <v>17000</v>
      </c>
      <c r="F723" s="20" t="s">
        <v>47</v>
      </c>
      <c r="G723" s="20" t="n">
        <v>20</v>
      </c>
      <c r="H723" s="17"/>
    </row>
    <row r="724" customFormat="false" ht="44" hidden="false" customHeight="false" outlineLevel="0" collapsed="false">
      <c r="A724" s="18" t="s">
        <v>993</v>
      </c>
      <c r="B724" s="18" t="s">
        <v>310</v>
      </c>
      <c r="C724" s="17" t="s">
        <v>994</v>
      </c>
      <c r="D724" s="19" t="n">
        <v>27000</v>
      </c>
      <c r="E724" s="19" t="n">
        <v>50000</v>
      </c>
      <c r="F724" s="20" t="s">
        <v>47</v>
      </c>
      <c r="G724" s="20" t="n">
        <v>10</v>
      </c>
      <c r="H724" s="17"/>
    </row>
    <row r="725" customFormat="false" ht="15" hidden="false" customHeight="false" outlineLevel="0" collapsed="false">
      <c r="A725" s="14" t="s">
        <v>995</v>
      </c>
      <c r="B725" s="14" t="s">
        <v>310</v>
      </c>
      <c r="C725" s="13"/>
      <c r="D725" s="15"/>
      <c r="E725" s="15"/>
      <c r="F725" s="16" t="s">
        <v>39</v>
      </c>
      <c r="G725" s="15" t="n">
        <v>7</v>
      </c>
      <c r="H725" s="13"/>
    </row>
    <row r="726" customFormat="false" ht="15" hidden="false" customHeight="false" outlineLevel="0" collapsed="false">
      <c r="A726" s="14" t="s">
        <v>996</v>
      </c>
      <c r="B726" s="14" t="s">
        <v>310</v>
      </c>
      <c r="C726" s="13"/>
      <c r="D726" s="15"/>
      <c r="E726" s="15"/>
      <c r="F726" s="16" t="s">
        <v>39</v>
      </c>
      <c r="G726" s="15" t="n">
        <v>7</v>
      </c>
      <c r="H726" s="13"/>
    </row>
    <row r="727" customFormat="false" ht="15" hidden="false" customHeight="false" outlineLevel="0" collapsed="false">
      <c r="A727" s="14" t="s">
        <v>997</v>
      </c>
      <c r="B727" s="14" t="s">
        <v>310</v>
      </c>
      <c r="C727" s="13"/>
      <c r="D727" s="15"/>
      <c r="E727" s="15"/>
      <c r="F727" s="16" t="s">
        <v>39</v>
      </c>
      <c r="G727" s="15" t="n">
        <v>5</v>
      </c>
      <c r="H727" s="13"/>
    </row>
    <row r="728" customFormat="false" ht="15" hidden="false" customHeight="false" outlineLevel="0" collapsed="false">
      <c r="A728" s="14" t="s">
        <v>998</v>
      </c>
      <c r="B728" s="14" t="s">
        <v>310</v>
      </c>
      <c r="C728" s="13"/>
      <c r="D728" s="15"/>
      <c r="E728" s="15"/>
      <c r="F728" s="16" t="s">
        <v>39</v>
      </c>
      <c r="G728" s="15" t="n">
        <v>7</v>
      </c>
      <c r="H728" s="13"/>
    </row>
    <row r="729" customFormat="false" ht="29.85" hidden="false" customHeight="false" outlineLevel="0" collapsed="false">
      <c r="A729" s="18" t="s">
        <v>999</v>
      </c>
      <c r="B729" s="18" t="s">
        <v>310</v>
      </c>
      <c r="C729" s="17" t="s">
        <v>1000</v>
      </c>
      <c r="D729" s="19" t="n">
        <v>15000</v>
      </c>
      <c r="E729" s="19" t="n">
        <v>17000</v>
      </c>
      <c r="F729" s="20" t="s">
        <v>47</v>
      </c>
      <c r="G729" s="20" t="n">
        <v>20</v>
      </c>
      <c r="H729" s="17"/>
    </row>
    <row r="730" customFormat="false" ht="44" hidden="false" customHeight="false" outlineLevel="0" collapsed="false">
      <c r="A730" s="18" t="s">
        <v>1001</v>
      </c>
      <c r="B730" s="18" t="s">
        <v>310</v>
      </c>
      <c r="C730" s="17" t="s">
        <v>1002</v>
      </c>
      <c r="D730" s="19" t="n">
        <v>27000</v>
      </c>
      <c r="E730" s="19" t="n">
        <v>50000</v>
      </c>
      <c r="F730" s="20" t="s">
        <v>47</v>
      </c>
      <c r="G730" s="20" t="n">
        <v>10</v>
      </c>
      <c r="H730" s="17"/>
    </row>
    <row r="731" customFormat="false" ht="29.85" hidden="false" customHeight="false" outlineLevel="0" collapsed="false">
      <c r="A731" s="14" t="s">
        <v>1003</v>
      </c>
      <c r="B731" s="14" t="s">
        <v>38</v>
      </c>
      <c r="C731" s="13"/>
      <c r="D731" s="15"/>
      <c r="E731" s="15"/>
      <c r="F731" s="16" t="s">
        <v>39</v>
      </c>
      <c r="G731" s="15" t="n">
        <v>15</v>
      </c>
      <c r="H731" s="13"/>
    </row>
    <row r="732" customFormat="false" ht="29.85" hidden="false" customHeight="false" outlineLevel="0" collapsed="false">
      <c r="A732" s="14" t="s">
        <v>1004</v>
      </c>
      <c r="B732" s="14" t="s">
        <v>38</v>
      </c>
      <c r="C732" s="13"/>
      <c r="D732" s="15"/>
      <c r="E732" s="15"/>
      <c r="F732" s="16" t="s">
        <v>39</v>
      </c>
      <c r="G732" s="15" t="n">
        <v>0</v>
      </c>
      <c r="H732" s="13"/>
    </row>
    <row r="733" customFormat="false" ht="15" hidden="false" customHeight="false" outlineLevel="0" collapsed="false">
      <c r="A733" s="14" t="s">
        <v>1005</v>
      </c>
      <c r="B733" s="14" t="s">
        <v>138</v>
      </c>
      <c r="C733" s="13"/>
      <c r="D733" s="15"/>
      <c r="E733" s="15"/>
      <c r="F733" s="16" t="s">
        <v>39</v>
      </c>
      <c r="G733" s="15" t="n">
        <v>0</v>
      </c>
      <c r="H733" s="13"/>
    </row>
    <row r="734" customFormat="false" ht="15" hidden="false" customHeight="false" outlineLevel="0" collapsed="false">
      <c r="A734" s="14" t="s">
        <v>1006</v>
      </c>
      <c r="B734" s="14" t="s">
        <v>409</v>
      </c>
      <c r="C734" s="13"/>
      <c r="D734" s="15"/>
      <c r="E734" s="15"/>
      <c r="F734" s="16" t="s">
        <v>39</v>
      </c>
      <c r="G734" s="15" t="n">
        <v>10</v>
      </c>
      <c r="H734" s="13"/>
    </row>
    <row r="735" customFormat="false" ht="15" hidden="false" customHeight="false" outlineLevel="0" collapsed="false">
      <c r="A735" s="14" t="s">
        <v>1007</v>
      </c>
      <c r="B735" s="14" t="s">
        <v>409</v>
      </c>
      <c r="C735" s="13"/>
      <c r="D735" s="15"/>
      <c r="E735" s="15"/>
      <c r="F735" s="16" t="s">
        <v>39</v>
      </c>
      <c r="G735" s="15" t="n">
        <v>0</v>
      </c>
      <c r="H735" s="13"/>
    </row>
    <row r="736" customFormat="false" ht="15" hidden="false" customHeight="false" outlineLevel="0" collapsed="false">
      <c r="A736" s="10" t="s">
        <v>1008</v>
      </c>
      <c r="B736" s="10" t="s">
        <v>132</v>
      </c>
      <c r="C736" s="10" t="s">
        <v>57</v>
      </c>
      <c r="D736" s="11"/>
      <c r="E736" s="11"/>
      <c r="F736" s="12" t="s">
        <v>35</v>
      </c>
      <c r="G736" s="11" t="n">
        <v>0</v>
      </c>
      <c r="H736" s="9"/>
    </row>
    <row r="737" customFormat="false" ht="15" hidden="false" customHeight="false" outlineLevel="0" collapsed="false">
      <c r="A737" s="10" t="s">
        <v>1009</v>
      </c>
      <c r="B737" s="10" t="s">
        <v>132</v>
      </c>
      <c r="C737" s="10" t="s">
        <v>57</v>
      </c>
      <c r="D737" s="11"/>
      <c r="E737" s="11"/>
      <c r="F737" s="12" t="s">
        <v>35</v>
      </c>
      <c r="G737" s="11" t="n">
        <v>3</v>
      </c>
      <c r="H737" s="9"/>
    </row>
    <row r="738" customFormat="false" ht="15" hidden="false" customHeight="false" outlineLevel="0" collapsed="false">
      <c r="A738" s="10" t="s">
        <v>1010</v>
      </c>
      <c r="B738" s="10" t="s">
        <v>132</v>
      </c>
      <c r="C738" s="10" t="s">
        <v>57</v>
      </c>
      <c r="D738" s="11"/>
      <c r="E738" s="11"/>
      <c r="F738" s="12" t="s">
        <v>35</v>
      </c>
      <c r="G738" s="11" t="n">
        <v>3</v>
      </c>
      <c r="H738" s="9"/>
    </row>
    <row r="739" customFormat="false" ht="15" hidden="false" customHeight="false" outlineLevel="0" collapsed="false">
      <c r="A739" s="10" t="s">
        <v>1011</v>
      </c>
      <c r="B739" s="10" t="s">
        <v>132</v>
      </c>
      <c r="C739" s="10" t="s">
        <v>57</v>
      </c>
      <c r="D739" s="11"/>
      <c r="E739" s="11"/>
      <c r="F739" s="12" t="s">
        <v>35</v>
      </c>
      <c r="G739" s="11" t="n">
        <v>0</v>
      </c>
      <c r="H739" s="9"/>
    </row>
    <row r="740" customFormat="false" ht="15" hidden="false" customHeight="false" outlineLevel="0" collapsed="false">
      <c r="A740" s="14" t="s">
        <v>1012</v>
      </c>
      <c r="B740" s="13"/>
      <c r="C740" s="13"/>
      <c r="D740" s="15"/>
      <c r="E740" s="15"/>
      <c r="F740" s="16" t="s">
        <v>39</v>
      </c>
      <c r="G740" s="15" t="n">
        <v>0</v>
      </c>
      <c r="H740" s="13"/>
    </row>
    <row r="741" customFormat="false" ht="29.85" hidden="false" customHeight="false" outlineLevel="0" collapsed="false">
      <c r="A741" s="14" t="s">
        <v>1013</v>
      </c>
      <c r="B741" s="14" t="s">
        <v>41</v>
      </c>
      <c r="C741" s="13"/>
      <c r="D741" s="15"/>
      <c r="E741" s="15"/>
      <c r="F741" s="16" t="s">
        <v>39</v>
      </c>
      <c r="G741" s="15" t="n">
        <v>0</v>
      </c>
      <c r="H741" s="13"/>
    </row>
    <row r="742" customFormat="false" ht="29.85" hidden="false" customHeight="false" outlineLevel="0" collapsed="false">
      <c r="A742" s="18" t="s">
        <v>1014</v>
      </c>
      <c r="B742" s="18" t="s">
        <v>41</v>
      </c>
      <c r="C742" s="17" t="s">
        <v>1015</v>
      </c>
      <c r="D742" s="19" t="n">
        <v>28000</v>
      </c>
      <c r="E742" s="19" t="n">
        <v>28000</v>
      </c>
      <c r="F742" s="20" t="s">
        <v>47</v>
      </c>
      <c r="G742" s="20" t="n">
        <v>0</v>
      </c>
      <c r="H742" s="17"/>
    </row>
    <row r="743" customFormat="false" ht="29.85" hidden="false" customHeight="false" outlineLevel="0" collapsed="false">
      <c r="A743" s="14" t="s">
        <v>1016</v>
      </c>
      <c r="B743" s="14" t="s">
        <v>630</v>
      </c>
      <c r="C743" s="13"/>
      <c r="D743" s="15"/>
      <c r="E743" s="15"/>
      <c r="F743" s="16" t="s">
        <v>39</v>
      </c>
      <c r="G743" s="15" t="n">
        <v>0</v>
      </c>
      <c r="H743" s="13"/>
    </row>
    <row r="744" customFormat="false" ht="15" hidden="false" customHeight="false" outlineLevel="0" collapsed="false">
      <c r="A744" s="14" t="s">
        <v>1017</v>
      </c>
      <c r="B744" s="14" t="s">
        <v>124</v>
      </c>
      <c r="C744" s="13"/>
      <c r="D744" s="15"/>
      <c r="E744" s="15"/>
      <c r="F744" s="16" t="s">
        <v>39</v>
      </c>
      <c r="G744" s="15" t="n">
        <v>0</v>
      </c>
      <c r="H744" s="13"/>
    </row>
    <row r="745" customFormat="false" ht="15" hidden="false" customHeight="false" outlineLevel="0" collapsed="false">
      <c r="A745" s="18" t="s">
        <v>1018</v>
      </c>
      <c r="B745" s="18" t="s">
        <v>124</v>
      </c>
      <c r="C745" s="17" t="s">
        <v>1019</v>
      </c>
      <c r="D745" s="20"/>
      <c r="E745" s="20"/>
      <c r="F745" s="20" t="s">
        <v>47</v>
      </c>
      <c r="G745" s="20" t="n">
        <v>0</v>
      </c>
      <c r="H745" s="17"/>
    </row>
    <row r="746" customFormat="false" ht="15" hidden="false" customHeight="false" outlineLevel="0" collapsed="false">
      <c r="A746" s="14" t="s">
        <v>1020</v>
      </c>
      <c r="B746" s="14" t="s">
        <v>60</v>
      </c>
      <c r="C746" s="13"/>
      <c r="D746" s="15"/>
      <c r="E746" s="15"/>
      <c r="F746" s="16" t="s">
        <v>39</v>
      </c>
      <c r="G746" s="15" t="n">
        <v>7</v>
      </c>
      <c r="H746" s="13"/>
    </row>
    <row r="747" customFormat="false" ht="15" hidden="false" customHeight="false" outlineLevel="0" collapsed="false">
      <c r="A747" s="10" t="s">
        <v>1021</v>
      </c>
      <c r="B747" s="10" t="s">
        <v>67</v>
      </c>
      <c r="C747" s="10" t="s">
        <v>196</v>
      </c>
      <c r="D747" s="11"/>
      <c r="E747" s="11"/>
      <c r="F747" s="12" t="s">
        <v>35</v>
      </c>
      <c r="G747" s="11" t="n">
        <v>7</v>
      </c>
      <c r="H747" s="9"/>
    </row>
    <row r="748" customFormat="false" ht="15" hidden="false" customHeight="false" outlineLevel="0" collapsed="false">
      <c r="A748" s="14" t="s">
        <v>1022</v>
      </c>
      <c r="B748" s="14" t="s">
        <v>331</v>
      </c>
      <c r="C748" s="13"/>
      <c r="D748" s="15"/>
      <c r="E748" s="15"/>
      <c r="F748" s="16" t="s">
        <v>39</v>
      </c>
      <c r="G748" s="15" t="n">
        <v>14</v>
      </c>
      <c r="H748" s="13"/>
    </row>
    <row r="749" customFormat="false" ht="15" hidden="false" customHeight="false" outlineLevel="0" collapsed="false">
      <c r="A749" s="18" t="s">
        <v>1023</v>
      </c>
      <c r="B749" s="18" t="s">
        <v>109</v>
      </c>
      <c r="C749" s="17" t="s">
        <v>1024</v>
      </c>
      <c r="D749" s="19" t="n">
        <v>6000</v>
      </c>
      <c r="E749" s="19" t="n">
        <v>6000</v>
      </c>
      <c r="F749" s="20" t="s">
        <v>47</v>
      </c>
      <c r="G749" s="20" t="n">
        <v>10</v>
      </c>
      <c r="H749" s="17"/>
    </row>
    <row r="750" customFormat="false" ht="15" hidden="false" customHeight="false" outlineLevel="0" collapsed="false">
      <c r="A750" s="14" t="s">
        <v>1025</v>
      </c>
      <c r="B750" s="14" t="s">
        <v>60</v>
      </c>
      <c r="C750" s="13"/>
      <c r="D750" s="15"/>
      <c r="E750" s="15"/>
      <c r="F750" s="16" t="s">
        <v>39</v>
      </c>
      <c r="G750" s="15" t="n">
        <v>1</v>
      </c>
      <c r="H750" s="13"/>
    </row>
    <row r="751" customFormat="false" ht="15" hidden="false" customHeight="false" outlineLevel="0" collapsed="false">
      <c r="A751" s="10" t="s">
        <v>1026</v>
      </c>
      <c r="B751" s="10" t="s">
        <v>33</v>
      </c>
      <c r="C751" s="10" t="s">
        <v>57</v>
      </c>
      <c r="D751" s="11"/>
      <c r="E751" s="11"/>
      <c r="F751" s="12" t="s">
        <v>35</v>
      </c>
      <c r="G751" s="11" t="n">
        <v>1</v>
      </c>
      <c r="H751" s="9"/>
    </row>
    <row r="752" customFormat="false" ht="15" hidden="false" customHeight="false" outlineLevel="0" collapsed="false">
      <c r="A752" s="18" t="s">
        <v>1027</v>
      </c>
      <c r="B752" s="18" t="s">
        <v>67</v>
      </c>
      <c r="C752" s="18" t="s">
        <v>65</v>
      </c>
      <c r="D752" s="20"/>
      <c r="E752" s="20"/>
      <c r="F752" s="20" t="s">
        <v>47</v>
      </c>
      <c r="G752" s="20" t="n">
        <v>1</v>
      </c>
      <c r="H752" s="17"/>
    </row>
    <row r="753" customFormat="false" ht="15" hidden="false" customHeight="false" outlineLevel="0" collapsed="false">
      <c r="A753" s="14" t="s">
        <v>1028</v>
      </c>
      <c r="B753" s="14" t="s">
        <v>103</v>
      </c>
      <c r="C753" s="13"/>
      <c r="D753" s="15"/>
      <c r="E753" s="15"/>
      <c r="F753" s="16" t="s">
        <v>39</v>
      </c>
      <c r="G753" s="15" t="n">
        <v>20</v>
      </c>
      <c r="H753" s="13"/>
    </row>
    <row r="754" customFormat="false" ht="15" hidden="false" customHeight="false" outlineLevel="0" collapsed="false">
      <c r="A754" s="14" t="s">
        <v>1029</v>
      </c>
      <c r="B754" s="14" t="s">
        <v>43</v>
      </c>
      <c r="C754" s="13"/>
      <c r="D754" s="15"/>
      <c r="E754" s="15"/>
      <c r="F754" s="16" t="s">
        <v>39</v>
      </c>
      <c r="G754" s="15" t="n">
        <v>0</v>
      </c>
      <c r="H754" s="13"/>
    </row>
    <row r="755" customFormat="false" ht="15" hidden="false" customHeight="false" outlineLevel="0" collapsed="false">
      <c r="A755" s="10" t="s">
        <v>1030</v>
      </c>
      <c r="B755" s="10" t="s">
        <v>241</v>
      </c>
      <c r="C755" s="10" t="s">
        <v>57</v>
      </c>
      <c r="D755" s="11"/>
      <c r="E755" s="11"/>
      <c r="F755" s="12" t="s">
        <v>35</v>
      </c>
      <c r="G755" s="11" t="n">
        <v>0</v>
      </c>
      <c r="H755" s="9"/>
    </row>
    <row r="756" customFormat="false" ht="29.85" hidden="false" customHeight="false" outlineLevel="0" collapsed="false">
      <c r="A756" s="18" t="s">
        <v>1031</v>
      </c>
      <c r="B756" s="18" t="s">
        <v>219</v>
      </c>
      <c r="C756" s="17" t="s">
        <v>498</v>
      </c>
      <c r="D756" s="19" t="n">
        <v>20000</v>
      </c>
      <c r="E756" s="19" t="n">
        <v>20000</v>
      </c>
      <c r="F756" s="20" t="s">
        <v>47</v>
      </c>
      <c r="G756" s="20" t="n">
        <v>3</v>
      </c>
      <c r="H756" s="17"/>
    </row>
    <row r="757" customFormat="false" ht="15" hidden="false" customHeight="false" outlineLevel="0" collapsed="false">
      <c r="A757" s="10" t="s">
        <v>1032</v>
      </c>
      <c r="B757" s="9"/>
      <c r="C757" s="10" t="s">
        <v>57</v>
      </c>
      <c r="D757" s="11"/>
      <c r="E757" s="11"/>
      <c r="F757" s="12" t="s">
        <v>35</v>
      </c>
      <c r="G757" s="11" t="n">
        <v>30</v>
      </c>
      <c r="H757" s="9"/>
    </row>
    <row r="758" customFormat="false" ht="15" hidden="false" customHeight="false" outlineLevel="0" collapsed="false">
      <c r="A758" s="14" t="s">
        <v>1033</v>
      </c>
      <c r="B758" s="14" t="s">
        <v>609</v>
      </c>
      <c r="C758" s="13"/>
      <c r="D758" s="15"/>
      <c r="E758" s="15"/>
      <c r="F758" s="16" t="s">
        <v>39</v>
      </c>
      <c r="G758" s="15" t="n">
        <v>45</v>
      </c>
      <c r="H758" s="13"/>
    </row>
    <row r="759" customFormat="false" ht="15" hidden="false" customHeight="false" outlineLevel="0" collapsed="false">
      <c r="A759" s="18" t="s">
        <v>1034</v>
      </c>
      <c r="B759" s="18" t="s">
        <v>1035</v>
      </c>
      <c r="C759" s="17" t="s">
        <v>375</v>
      </c>
      <c r="D759" s="19" t="n">
        <v>10000</v>
      </c>
      <c r="E759" s="19" t="n">
        <v>10000</v>
      </c>
      <c r="F759" s="20" t="s">
        <v>47</v>
      </c>
      <c r="G759" s="20" t="n">
        <v>5</v>
      </c>
      <c r="H759" s="17"/>
    </row>
    <row r="760" customFormat="false" ht="15" hidden="false" customHeight="false" outlineLevel="0" collapsed="false">
      <c r="A760" s="18" t="s">
        <v>1036</v>
      </c>
      <c r="B760" s="18" t="s">
        <v>1035</v>
      </c>
      <c r="C760" s="17" t="s">
        <v>148</v>
      </c>
      <c r="D760" s="19" t="n">
        <v>30000</v>
      </c>
      <c r="E760" s="19" t="n">
        <v>30000</v>
      </c>
      <c r="F760" s="20" t="s">
        <v>47</v>
      </c>
      <c r="G760" s="20" t="n">
        <v>7</v>
      </c>
      <c r="H760" s="17"/>
    </row>
    <row r="761" customFormat="false" ht="15" hidden="false" customHeight="false" outlineLevel="0" collapsed="false">
      <c r="A761" s="14" t="s">
        <v>1037</v>
      </c>
      <c r="B761" s="14" t="s">
        <v>1035</v>
      </c>
      <c r="C761" s="13"/>
      <c r="D761" s="15"/>
      <c r="E761" s="15"/>
      <c r="F761" s="16" t="s">
        <v>39</v>
      </c>
      <c r="G761" s="15" t="n">
        <v>0</v>
      </c>
      <c r="H761" s="13"/>
    </row>
    <row r="762" customFormat="false" ht="15" hidden="false" customHeight="false" outlineLevel="0" collapsed="false">
      <c r="A762" s="14" t="s">
        <v>1038</v>
      </c>
      <c r="B762" s="14" t="s">
        <v>1035</v>
      </c>
      <c r="C762" s="13"/>
      <c r="D762" s="15"/>
      <c r="E762" s="15"/>
      <c r="F762" s="16" t="s">
        <v>39</v>
      </c>
      <c r="G762" s="15" t="n">
        <v>0</v>
      </c>
      <c r="H762" s="13"/>
    </row>
    <row r="763" customFormat="false" ht="15" hidden="false" customHeight="false" outlineLevel="0" collapsed="false">
      <c r="A763" s="10" t="s">
        <v>1039</v>
      </c>
      <c r="B763" s="10" t="s">
        <v>92</v>
      </c>
      <c r="C763" s="10" t="s">
        <v>57</v>
      </c>
      <c r="D763" s="11"/>
      <c r="E763" s="11"/>
      <c r="F763" s="12" t="s">
        <v>35</v>
      </c>
      <c r="G763" s="11" t="n">
        <v>35</v>
      </c>
      <c r="H763" s="9"/>
    </row>
    <row r="764" customFormat="false" ht="15" hidden="false" customHeight="false" outlineLevel="0" collapsed="false">
      <c r="A764" s="14" t="s">
        <v>1040</v>
      </c>
      <c r="B764" s="14" t="s">
        <v>343</v>
      </c>
      <c r="C764" s="13"/>
      <c r="D764" s="15"/>
      <c r="E764" s="15"/>
      <c r="F764" s="16" t="s">
        <v>39</v>
      </c>
      <c r="G764" s="15" t="n">
        <v>7</v>
      </c>
      <c r="H764" s="13"/>
    </row>
    <row r="765" customFormat="false" ht="15" hidden="false" customHeight="false" outlineLevel="0" collapsed="false">
      <c r="A765" s="14" t="s">
        <v>1041</v>
      </c>
      <c r="B765" s="14" t="s">
        <v>409</v>
      </c>
      <c r="C765" s="13"/>
      <c r="D765" s="15"/>
      <c r="E765" s="15"/>
      <c r="F765" s="16" t="s">
        <v>39</v>
      </c>
      <c r="G765" s="15" t="n">
        <v>0</v>
      </c>
      <c r="H765" s="13"/>
    </row>
    <row r="766" customFormat="false" ht="15" hidden="false" customHeight="false" outlineLevel="0" collapsed="false">
      <c r="A766" s="10" t="s">
        <v>1042</v>
      </c>
      <c r="B766" s="10" t="s">
        <v>92</v>
      </c>
      <c r="C766" s="10" t="s">
        <v>34</v>
      </c>
      <c r="D766" s="11"/>
      <c r="E766" s="11"/>
      <c r="F766" s="12" t="s">
        <v>35</v>
      </c>
      <c r="G766" s="11" t="n">
        <v>3</v>
      </c>
      <c r="H766" s="9"/>
    </row>
    <row r="767" customFormat="false" ht="15" hidden="false" customHeight="false" outlineLevel="0" collapsed="false">
      <c r="A767" s="10" t="s">
        <v>1043</v>
      </c>
      <c r="B767" s="10" t="s">
        <v>92</v>
      </c>
      <c r="C767" s="10" t="s">
        <v>34</v>
      </c>
      <c r="D767" s="11"/>
      <c r="E767" s="11"/>
      <c r="F767" s="12" t="s">
        <v>35</v>
      </c>
      <c r="G767" s="11" t="n">
        <v>3</v>
      </c>
      <c r="H767" s="9"/>
    </row>
    <row r="768" customFormat="false" ht="29.85" hidden="false" customHeight="false" outlineLevel="0" collapsed="false">
      <c r="A768" s="14" t="s">
        <v>1044</v>
      </c>
      <c r="B768" s="14" t="s">
        <v>219</v>
      </c>
      <c r="C768" s="13"/>
      <c r="D768" s="15"/>
      <c r="E768" s="15"/>
      <c r="F768" s="16" t="s">
        <v>39</v>
      </c>
      <c r="G768" s="15" t="n">
        <v>3</v>
      </c>
      <c r="H768" s="13"/>
    </row>
    <row r="769" customFormat="false" ht="29.85" hidden="false" customHeight="false" outlineLevel="0" collapsed="false">
      <c r="A769" s="10" t="s">
        <v>1045</v>
      </c>
      <c r="B769" s="10" t="s">
        <v>219</v>
      </c>
      <c r="C769" s="10" t="s">
        <v>57</v>
      </c>
      <c r="D769" s="11"/>
      <c r="E769" s="11"/>
      <c r="F769" s="12" t="s">
        <v>35</v>
      </c>
      <c r="G769" s="11" t="n">
        <v>0</v>
      </c>
      <c r="H769" s="9"/>
    </row>
    <row r="770" customFormat="false" ht="15" hidden="false" customHeight="false" outlineLevel="0" collapsed="false">
      <c r="A770" s="14" t="s">
        <v>1046</v>
      </c>
      <c r="B770" s="14" t="s">
        <v>396</v>
      </c>
      <c r="C770" s="13"/>
      <c r="D770" s="15"/>
      <c r="E770" s="15"/>
      <c r="F770" s="16" t="s">
        <v>39</v>
      </c>
      <c r="G770" s="15" t="n">
        <v>0</v>
      </c>
      <c r="H770" s="13"/>
    </row>
    <row r="771" customFormat="false" ht="15" hidden="false" customHeight="false" outlineLevel="0" collapsed="false">
      <c r="A771" s="14" t="s">
        <v>1047</v>
      </c>
      <c r="B771" s="14" t="s">
        <v>566</v>
      </c>
      <c r="C771" s="13"/>
      <c r="D771" s="15"/>
      <c r="E771" s="15"/>
      <c r="F771" s="16" t="s">
        <v>39</v>
      </c>
      <c r="G771" s="15" t="n">
        <v>0</v>
      </c>
      <c r="H771" s="13"/>
    </row>
    <row r="772" customFormat="false" ht="15" hidden="false" customHeight="false" outlineLevel="0" collapsed="false">
      <c r="A772" s="14" t="s">
        <v>1048</v>
      </c>
      <c r="B772" s="14" t="s">
        <v>109</v>
      </c>
      <c r="C772" s="13"/>
      <c r="D772" s="15"/>
      <c r="E772" s="15"/>
      <c r="F772" s="16" t="s">
        <v>39</v>
      </c>
      <c r="G772" s="15" t="n">
        <v>0</v>
      </c>
      <c r="H772" s="13"/>
    </row>
    <row r="773" customFormat="false" ht="15" hidden="false" customHeight="false" outlineLevel="0" collapsed="false">
      <c r="A773" s="18" t="s">
        <v>1049</v>
      </c>
      <c r="B773" s="18" t="s">
        <v>98</v>
      </c>
      <c r="C773" s="17" t="s">
        <v>339</v>
      </c>
      <c r="D773" s="19" t="n">
        <v>20000</v>
      </c>
      <c r="E773" s="19" t="n">
        <v>20000</v>
      </c>
      <c r="F773" s="20" t="s">
        <v>47</v>
      </c>
      <c r="G773" s="20" t="n">
        <v>7</v>
      </c>
      <c r="H773" s="17"/>
    </row>
    <row r="774" customFormat="false" ht="15" hidden="false" customHeight="false" outlineLevel="0" collapsed="false">
      <c r="A774" s="10" t="s">
        <v>1050</v>
      </c>
      <c r="B774" s="10" t="s">
        <v>98</v>
      </c>
      <c r="C774" s="10" t="s">
        <v>57</v>
      </c>
      <c r="D774" s="11"/>
      <c r="E774" s="11"/>
      <c r="F774" s="12" t="s">
        <v>35</v>
      </c>
      <c r="G774" s="11" t="n">
        <v>20</v>
      </c>
      <c r="H774" s="9"/>
    </row>
    <row r="775" customFormat="false" ht="15" hidden="false" customHeight="false" outlineLevel="0" collapsed="false">
      <c r="A775" s="18" t="s">
        <v>1051</v>
      </c>
      <c r="B775" s="18" t="s">
        <v>98</v>
      </c>
      <c r="C775" s="17" t="s">
        <v>673</v>
      </c>
      <c r="D775" s="19" t="n">
        <v>2000</v>
      </c>
      <c r="E775" s="19" t="n">
        <v>2000</v>
      </c>
      <c r="F775" s="20" t="s">
        <v>47</v>
      </c>
      <c r="G775" s="20" t="n">
        <v>0</v>
      </c>
      <c r="H775" s="17"/>
    </row>
    <row r="776" customFormat="false" ht="15" hidden="false" customHeight="false" outlineLevel="0" collapsed="false">
      <c r="A776" s="10" t="s">
        <v>1052</v>
      </c>
      <c r="B776" s="10" t="s">
        <v>98</v>
      </c>
      <c r="C776" s="10" t="s">
        <v>57</v>
      </c>
      <c r="D776" s="11"/>
      <c r="E776" s="11"/>
      <c r="F776" s="12" t="s">
        <v>35</v>
      </c>
      <c r="G776" s="11" t="n">
        <v>0</v>
      </c>
      <c r="H776" s="9"/>
    </row>
    <row r="777" customFormat="false" ht="15" hidden="false" customHeight="false" outlineLevel="0" collapsed="false">
      <c r="A777" s="14" t="s">
        <v>1053</v>
      </c>
      <c r="B777" s="14" t="s">
        <v>98</v>
      </c>
      <c r="C777" s="13"/>
      <c r="D777" s="15"/>
      <c r="E777" s="15"/>
      <c r="F777" s="16" t="s">
        <v>39</v>
      </c>
      <c r="G777" s="15" t="n">
        <v>10</v>
      </c>
      <c r="H777" s="13"/>
    </row>
    <row r="778" customFormat="false" ht="15" hidden="false" customHeight="false" outlineLevel="0" collapsed="false">
      <c r="A778" s="18" t="s">
        <v>1054</v>
      </c>
      <c r="B778" s="18" t="s">
        <v>82</v>
      </c>
      <c r="C778" s="17" t="s">
        <v>161</v>
      </c>
      <c r="D778" s="19" t="n">
        <v>5000</v>
      </c>
      <c r="E778" s="19" t="n">
        <v>5000</v>
      </c>
      <c r="F778" s="20" t="s">
        <v>47</v>
      </c>
      <c r="G778" s="20" t="n">
        <v>5</v>
      </c>
      <c r="H778" s="17"/>
    </row>
    <row r="779" customFormat="false" ht="15" hidden="false" customHeight="false" outlineLevel="0" collapsed="false">
      <c r="A779" s="18" t="s">
        <v>1055</v>
      </c>
      <c r="B779" s="18" t="s">
        <v>82</v>
      </c>
      <c r="C779" s="17" t="s">
        <v>375</v>
      </c>
      <c r="D779" s="19" t="n">
        <v>10000</v>
      </c>
      <c r="E779" s="19" t="n">
        <v>10000</v>
      </c>
      <c r="F779" s="20" t="s">
        <v>47</v>
      </c>
      <c r="G779" s="20" t="n">
        <v>10</v>
      </c>
      <c r="H779" s="17"/>
    </row>
    <row r="780" customFormat="false" ht="15" hidden="false" customHeight="false" outlineLevel="0" collapsed="false">
      <c r="A780" s="18" t="s">
        <v>1056</v>
      </c>
      <c r="B780" s="18" t="s">
        <v>132</v>
      </c>
      <c r="C780" s="17" t="s">
        <v>375</v>
      </c>
      <c r="D780" s="19" t="n">
        <v>10000</v>
      </c>
      <c r="E780" s="19" t="n">
        <v>10000</v>
      </c>
      <c r="F780" s="20" t="s">
        <v>47</v>
      </c>
      <c r="G780" s="20" t="n">
        <v>3</v>
      </c>
      <c r="H780" s="17"/>
    </row>
    <row r="781" customFormat="false" ht="15" hidden="false" customHeight="false" outlineLevel="0" collapsed="false">
      <c r="A781" s="18" t="s">
        <v>1057</v>
      </c>
      <c r="B781" s="18" t="s">
        <v>132</v>
      </c>
      <c r="C781" s="17" t="s">
        <v>375</v>
      </c>
      <c r="D781" s="19" t="n">
        <v>10000</v>
      </c>
      <c r="E781" s="19" t="n">
        <v>10000</v>
      </c>
      <c r="F781" s="20" t="s">
        <v>47</v>
      </c>
      <c r="G781" s="20" t="n">
        <v>0</v>
      </c>
      <c r="H781" s="17"/>
    </row>
    <row r="782" customFormat="false" ht="15" hidden="false" customHeight="false" outlineLevel="0" collapsed="false">
      <c r="A782" s="10" t="s">
        <v>1058</v>
      </c>
      <c r="B782" s="10" t="s">
        <v>132</v>
      </c>
      <c r="C782" s="10" t="s">
        <v>57</v>
      </c>
      <c r="D782" s="11"/>
      <c r="E782" s="11"/>
      <c r="F782" s="12" t="s">
        <v>35</v>
      </c>
      <c r="G782" s="11" t="n">
        <v>0</v>
      </c>
      <c r="H782" s="9"/>
    </row>
    <row r="783" customFormat="false" ht="15" hidden="false" customHeight="false" outlineLevel="0" collapsed="false">
      <c r="A783" s="14" t="s">
        <v>1059</v>
      </c>
      <c r="B783" s="13"/>
      <c r="C783" s="13"/>
      <c r="D783" s="15"/>
      <c r="E783" s="15"/>
      <c r="F783" s="16" t="s">
        <v>39</v>
      </c>
      <c r="G783" s="15" t="n">
        <v>0</v>
      </c>
      <c r="H783" s="13"/>
    </row>
    <row r="784" customFormat="false" ht="15" hidden="false" customHeight="false" outlineLevel="0" collapsed="false">
      <c r="A784" s="14" t="s">
        <v>1060</v>
      </c>
      <c r="B784" s="13"/>
      <c r="C784" s="13"/>
      <c r="D784" s="15"/>
      <c r="E784" s="15"/>
      <c r="F784" s="16" t="s">
        <v>39</v>
      </c>
      <c r="G784" s="15" t="n">
        <v>0</v>
      </c>
      <c r="H784" s="13"/>
    </row>
    <row r="785" customFormat="false" ht="15" hidden="false" customHeight="false" outlineLevel="0" collapsed="false">
      <c r="A785" s="14" t="s">
        <v>1061</v>
      </c>
      <c r="B785" s="13"/>
      <c r="C785" s="13"/>
      <c r="D785" s="15"/>
      <c r="E785" s="15"/>
      <c r="F785" s="16" t="s">
        <v>39</v>
      </c>
      <c r="G785" s="15" t="n">
        <v>0</v>
      </c>
      <c r="H785" s="13"/>
    </row>
    <row r="786" customFormat="false" ht="15" hidden="false" customHeight="false" outlineLevel="0" collapsed="false">
      <c r="A786" s="14" t="s">
        <v>1062</v>
      </c>
      <c r="B786" s="14" t="s">
        <v>409</v>
      </c>
      <c r="C786" s="13"/>
      <c r="D786" s="15"/>
      <c r="E786" s="15"/>
      <c r="F786" s="16" t="s">
        <v>39</v>
      </c>
      <c r="G786" s="15" t="n">
        <v>0</v>
      </c>
      <c r="H786" s="13"/>
    </row>
    <row r="787" customFormat="false" ht="15" hidden="false" customHeight="false" outlineLevel="0" collapsed="false">
      <c r="A787" s="10" t="s">
        <v>1063</v>
      </c>
      <c r="B787" s="10" t="s">
        <v>82</v>
      </c>
      <c r="C787" s="10" t="s">
        <v>57</v>
      </c>
      <c r="D787" s="11"/>
      <c r="E787" s="11"/>
      <c r="F787" s="12" t="s">
        <v>35</v>
      </c>
      <c r="G787" s="11" t="n">
        <v>7</v>
      </c>
      <c r="H787" s="9"/>
    </row>
    <row r="788" customFormat="false" ht="15" hidden="false" customHeight="false" outlineLevel="0" collapsed="false">
      <c r="A788" s="14" t="s">
        <v>1064</v>
      </c>
      <c r="B788" s="14" t="s">
        <v>1065</v>
      </c>
      <c r="C788" s="14" t="s">
        <v>1066</v>
      </c>
      <c r="D788" s="15"/>
      <c r="E788" s="15"/>
      <c r="F788" s="16" t="s">
        <v>39</v>
      </c>
      <c r="G788" s="15" t="n">
        <v>15</v>
      </c>
      <c r="H788" s="13"/>
    </row>
    <row r="789" customFormat="false" ht="29.85" hidden="false" customHeight="false" outlineLevel="0" collapsed="false">
      <c r="A789" s="14" t="s">
        <v>1067</v>
      </c>
      <c r="B789" s="14" t="s">
        <v>1068</v>
      </c>
      <c r="C789" s="13"/>
      <c r="D789" s="15"/>
      <c r="E789" s="15"/>
      <c r="F789" s="16" t="s">
        <v>39</v>
      </c>
      <c r="G789" s="15" t="n">
        <v>3</v>
      </c>
      <c r="H789" s="13"/>
    </row>
    <row r="790" customFormat="false" ht="29.85" hidden="false" customHeight="false" outlineLevel="0" collapsed="false">
      <c r="A790" s="18" t="s">
        <v>1069</v>
      </c>
      <c r="B790" s="18" t="s">
        <v>77</v>
      </c>
      <c r="C790" s="17" t="s">
        <v>1070</v>
      </c>
      <c r="D790" s="19" t="n">
        <v>1000</v>
      </c>
      <c r="E790" s="19" t="n">
        <v>1000</v>
      </c>
      <c r="F790" s="20" t="s">
        <v>47</v>
      </c>
      <c r="G790" s="20" t="n">
        <v>5</v>
      </c>
      <c r="H790" s="17"/>
    </row>
    <row r="791" customFormat="false" ht="29.85" hidden="false" customHeight="false" outlineLevel="0" collapsed="false">
      <c r="A791" s="18" t="s">
        <v>1071</v>
      </c>
      <c r="B791" s="18" t="s">
        <v>77</v>
      </c>
      <c r="C791" s="18" t="s">
        <v>1072</v>
      </c>
      <c r="D791" s="19" t="n">
        <v>1000</v>
      </c>
      <c r="E791" s="19" t="n">
        <v>1000</v>
      </c>
      <c r="F791" s="20" t="s">
        <v>47</v>
      </c>
      <c r="G791" s="20" t="n">
        <v>5</v>
      </c>
      <c r="H791" s="17"/>
    </row>
    <row r="792" customFormat="false" ht="58.2" hidden="false" customHeight="false" outlineLevel="0" collapsed="false">
      <c r="A792" s="10" t="s">
        <v>1073</v>
      </c>
      <c r="B792" s="10" t="s">
        <v>77</v>
      </c>
      <c r="C792" s="10" t="s">
        <v>1074</v>
      </c>
      <c r="D792" s="21" t="n">
        <v>50</v>
      </c>
      <c r="E792" s="21" t="n">
        <v>500</v>
      </c>
      <c r="F792" s="12" t="s">
        <v>35</v>
      </c>
      <c r="G792" s="11" t="n">
        <v>0</v>
      </c>
      <c r="H792" s="9"/>
    </row>
    <row r="793" customFormat="false" ht="29.85" hidden="false" customHeight="false" outlineLevel="0" collapsed="false">
      <c r="A793" s="18" t="s">
        <v>1075</v>
      </c>
      <c r="B793" s="18" t="s">
        <v>77</v>
      </c>
      <c r="C793" s="18" t="s">
        <v>1076</v>
      </c>
      <c r="D793" s="19" t="n">
        <v>1400</v>
      </c>
      <c r="E793" s="19" t="n">
        <v>1400</v>
      </c>
      <c r="F793" s="20" t="s">
        <v>47</v>
      </c>
      <c r="G793" s="20" t="n">
        <v>3</v>
      </c>
      <c r="H793" s="17"/>
    </row>
    <row r="794" customFormat="false" ht="29.85" hidden="false" customHeight="false" outlineLevel="0" collapsed="false">
      <c r="A794" s="14" t="s">
        <v>1077</v>
      </c>
      <c r="B794" s="14" t="s">
        <v>566</v>
      </c>
      <c r="C794" s="13"/>
      <c r="D794" s="15"/>
      <c r="E794" s="15"/>
      <c r="F794" s="16" t="s">
        <v>39</v>
      </c>
      <c r="G794" s="15" t="n">
        <v>0</v>
      </c>
      <c r="H794" s="13"/>
    </row>
    <row r="795" customFormat="false" ht="29.85" hidden="false" customHeight="false" outlineLevel="0" collapsed="false">
      <c r="A795" s="14" t="s">
        <v>1078</v>
      </c>
      <c r="B795" s="14" t="s">
        <v>77</v>
      </c>
      <c r="C795" s="13"/>
      <c r="D795" s="15"/>
      <c r="E795" s="15"/>
      <c r="F795" s="16" t="s">
        <v>39</v>
      </c>
      <c r="G795" s="15" t="n">
        <v>14</v>
      </c>
      <c r="H795" s="13"/>
    </row>
    <row r="796" customFormat="false" ht="29.85" hidden="false" customHeight="false" outlineLevel="0" collapsed="false">
      <c r="A796" s="14" t="s">
        <v>1079</v>
      </c>
      <c r="B796" s="14" t="s">
        <v>266</v>
      </c>
      <c r="C796" s="13"/>
      <c r="D796" s="15"/>
      <c r="E796" s="15"/>
      <c r="F796" s="16" t="s">
        <v>39</v>
      </c>
      <c r="G796" s="15" t="n">
        <v>5</v>
      </c>
      <c r="H796" s="13"/>
    </row>
    <row r="797" customFormat="false" ht="15" hidden="false" customHeight="false" outlineLevel="0" collapsed="false">
      <c r="A797" s="10" t="s">
        <v>1080</v>
      </c>
      <c r="B797" s="10" t="s">
        <v>335</v>
      </c>
      <c r="C797" s="10" t="s">
        <v>57</v>
      </c>
      <c r="D797" s="11"/>
      <c r="E797" s="11"/>
      <c r="F797" s="12" t="s">
        <v>35</v>
      </c>
      <c r="G797" s="11" t="n">
        <v>3</v>
      </c>
      <c r="H797" s="9"/>
    </row>
    <row r="798" customFormat="false" ht="15" hidden="false" customHeight="false" outlineLevel="0" collapsed="false">
      <c r="A798" s="10" t="s">
        <v>1081</v>
      </c>
      <c r="B798" s="10" t="s">
        <v>335</v>
      </c>
      <c r="C798" s="10" t="s">
        <v>57</v>
      </c>
      <c r="D798" s="11"/>
      <c r="E798" s="11"/>
      <c r="F798" s="12" t="s">
        <v>35</v>
      </c>
      <c r="G798" s="11" t="n">
        <v>3</v>
      </c>
      <c r="H798" s="9"/>
    </row>
    <row r="799" customFormat="false" ht="15" hidden="false" customHeight="false" outlineLevel="0" collapsed="false">
      <c r="A799" s="10" t="s">
        <v>1082</v>
      </c>
      <c r="B799" s="10" t="s">
        <v>335</v>
      </c>
      <c r="C799" s="10" t="s">
        <v>57</v>
      </c>
      <c r="D799" s="11"/>
      <c r="E799" s="11"/>
      <c r="F799" s="12" t="s">
        <v>35</v>
      </c>
      <c r="G799" s="11" t="n">
        <v>3</v>
      </c>
      <c r="H799" s="9"/>
    </row>
    <row r="800" customFormat="false" ht="15" hidden="false" customHeight="false" outlineLevel="0" collapsed="false">
      <c r="A800" s="10" t="s">
        <v>1083</v>
      </c>
      <c r="B800" s="10" t="s">
        <v>132</v>
      </c>
      <c r="C800" s="10" t="s">
        <v>57</v>
      </c>
      <c r="D800" s="11"/>
      <c r="E800" s="11"/>
      <c r="F800" s="12" t="s">
        <v>35</v>
      </c>
      <c r="G800" s="11" t="n">
        <v>7</v>
      </c>
      <c r="H800" s="9"/>
    </row>
    <row r="801" customFormat="false" ht="29.85" hidden="false" customHeight="false" outlineLevel="0" collapsed="false">
      <c r="A801" s="10" t="s">
        <v>1084</v>
      </c>
      <c r="B801" s="10" t="s">
        <v>132</v>
      </c>
      <c r="C801" s="10" t="s">
        <v>57</v>
      </c>
      <c r="D801" s="11"/>
      <c r="E801" s="11"/>
      <c r="F801" s="12" t="s">
        <v>35</v>
      </c>
      <c r="G801" s="11" t="n">
        <v>7</v>
      </c>
      <c r="H801" s="9"/>
    </row>
    <row r="802" customFormat="false" ht="15" hidden="false" customHeight="false" outlineLevel="0" collapsed="false">
      <c r="A802" s="10" t="s">
        <v>1085</v>
      </c>
      <c r="B802" s="10" t="s">
        <v>132</v>
      </c>
      <c r="C802" s="10" t="s">
        <v>57</v>
      </c>
      <c r="D802" s="11"/>
      <c r="E802" s="11"/>
      <c r="F802" s="12" t="s">
        <v>35</v>
      </c>
      <c r="G802" s="11" t="n">
        <v>7</v>
      </c>
      <c r="H802" s="9"/>
    </row>
    <row r="803" customFormat="false" ht="15" hidden="false" customHeight="false" outlineLevel="0" collapsed="false">
      <c r="A803" s="10" t="s">
        <v>1086</v>
      </c>
      <c r="B803" s="10" t="s">
        <v>132</v>
      </c>
      <c r="C803" s="10" t="s">
        <v>57</v>
      </c>
      <c r="D803" s="11"/>
      <c r="E803" s="11"/>
      <c r="F803" s="12" t="s">
        <v>35</v>
      </c>
      <c r="G803" s="11" t="n">
        <v>7</v>
      </c>
      <c r="H803" s="9"/>
    </row>
    <row r="804" customFormat="false" ht="15" hidden="false" customHeight="false" outlineLevel="0" collapsed="false">
      <c r="A804" s="10" t="s">
        <v>1087</v>
      </c>
      <c r="B804" s="10" t="s">
        <v>132</v>
      </c>
      <c r="C804" s="10" t="s">
        <v>57</v>
      </c>
      <c r="D804" s="11"/>
      <c r="E804" s="11"/>
      <c r="F804" s="12" t="s">
        <v>35</v>
      </c>
      <c r="G804" s="11" t="n">
        <v>0</v>
      </c>
      <c r="H804" s="9"/>
    </row>
    <row r="805" customFormat="false" ht="29.85" hidden="false" customHeight="false" outlineLevel="0" collapsed="false">
      <c r="A805" s="14" t="s">
        <v>1088</v>
      </c>
      <c r="B805" s="14" t="s">
        <v>38</v>
      </c>
      <c r="C805" s="13"/>
      <c r="D805" s="15"/>
      <c r="E805" s="15"/>
      <c r="F805" s="16" t="s">
        <v>39</v>
      </c>
      <c r="G805" s="15" t="n">
        <v>0</v>
      </c>
      <c r="H805" s="13"/>
    </row>
    <row r="806" customFormat="false" ht="29.85" hidden="false" customHeight="false" outlineLevel="0" collapsed="false">
      <c r="A806" s="14" t="s">
        <v>1089</v>
      </c>
      <c r="B806" s="14" t="s">
        <v>41</v>
      </c>
      <c r="C806" s="13"/>
      <c r="D806" s="15"/>
      <c r="E806" s="15"/>
      <c r="F806" s="16" t="s">
        <v>39</v>
      </c>
      <c r="G806" s="15" t="n">
        <v>4</v>
      </c>
      <c r="H806" s="13"/>
    </row>
    <row r="807" customFormat="false" ht="29.85" hidden="false" customHeight="false" outlineLevel="0" collapsed="false">
      <c r="A807" s="14" t="s">
        <v>1090</v>
      </c>
      <c r="B807" s="14" t="s">
        <v>41</v>
      </c>
      <c r="C807" s="13"/>
      <c r="D807" s="15"/>
      <c r="E807" s="15"/>
      <c r="F807" s="16" t="s">
        <v>39</v>
      </c>
      <c r="G807" s="15" t="n">
        <v>4</v>
      </c>
      <c r="H807" s="13"/>
    </row>
    <row r="808" customFormat="false" ht="15" hidden="false" customHeight="false" outlineLevel="0" collapsed="false">
      <c r="A808" s="10" t="s">
        <v>1091</v>
      </c>
      <c r="B808" s="10" t="s">
        <v>82</v>
      </c>
      <c r="C808" s="10" t="s">
        <v>57</v>
      </c>
      <c r="D808" s="11"/>
      <c r="E808" s="11"/>
      <c r="F808" s="12" t="s">
        <v>35</v>
      </c>
      <c r="G808" s="11" t="n">
        <v>3</v>
      </c>
      <c r="H808" s="9"/>
    </row>
    <row r="809" customFormat="false" ht="15" hidden="false" customHeight="false" outlineLevel="0" collapsed="false">
      <c r="A809" s="10" t="s">
        <v>1092</v>
      </c>
      <c r="B809" s="10" t="s">
        <v>82</v>
      </c>
      <c r="C809" s="10" t="s">
        <v>57</v>
      </c>
      <c r="D809" s="11"/>
      <c r="E809" s="11"/>
      <c r="F809" s="12" t="s">
        <v>35</v>
      </c>
      <c r="G809" s="11" t="n">
        <v>7</v>
      </c>
      <c r="H809" s="9"/>
    </row>
    <row r="810" customFormat="false" ht="29.85" hidden="false" customHeight="false" outlineLevel="0" collapsed="false">
      <c r="A810" s="18" t="s">
        <v>1093</v>
      </c>
      <c r="B810" s="18" t="s">
        <v>38</v>
      </c>
      <c r="C810" s="17" t="s">
        <v>375</v>
      </c>
      <c r="D810" s="19" t="n">
        <v>10000</v>
      </c>
      <c r="E810" s="19" t="n">
        <v>10000</v>
      </c>
      <c r="F810" s="20" t="s">
        <v>47</v>
      </c>
      <c r="G810" s="20" t="n">
        <v>3</v>
      </c>
      <c r="H810" s="17"/>
    </row>
    <row r="811" customFormat="false" ht="29.85" hidden="false" customHeight="false" outlineLevel="0" collapsed="false">
      <c r="A811" s="18" t="s">
        <v>1094</v>
      </c>
      <c r="B811" s="18" t="s">
        <v>38</v>
      </c>
      <c r="C811" s="17" t="s">
        <v>161</v>
      </c>
      <c r="D811" s="19" t="n">
        <v>5000</v>
      </c>
      <c r="E811" s="19" t="n">
        <v>5000</v>
      </c>
      <c r="F811" s="20" t="s">
        <v>47</v>
      </c>
      <c r="G811" s="20" t="n">
        <v>3</v>
      </c>
      <c r="H811" s="17"/>
    </row>
    <row r="812" customFormat="false" ht="29.85" hidden="false" customHeight="false" outlineLevel="0" collapsed="false">
      <c r="A812" s="18" t="s">
        <v>1095</v>
      </c>
      <c r="B812" s="18" t="s">
        <v>38</v>
      </c>
      <c r="C812" s="17" t="s">
        <v>375</v>
      </c>
      <c r="D812" s="19" t="n">
        <v>10000</v>
      </c>
      <c r="E812" s="19" t="n">
        <v>10000</v>
      </c>
      <c r="F812" s="20" t="s">
        <v>47</v>
      </c>
      <c r="G812" s="20" t="n">
        <v>3</v>
      </c>
      <c r="H812" s="17"/>
    </row>
    <row r="813" customFormat="false" ht="29.85" hidden="false" customHeight="false" outlineLevel="0" collapsed="false">
      <c r="A813" s="14" t="s">
        <v>1096</v>
      </c>
      <c r="B813" s="14" t="s">
        <v>38</v>
      </c>
      <c r="C813" s="13"/>
      <c r="D813" s="15"/>
      <c r="E813" s="15"/>
      <c r="F813" s="16" t="s">
        <v>39</v>
      </c>
      <c r="G813" s="15" t="n">
        <v>0</v>
      </c>
      <c r="H813" s="13"/>
    </row>
    <row r="814" customFormat="false" ht="15" hidden="false" customHeight="false" outlineLevel="0" collapsed="false">
      <c r="A814" s="14" t="s">
        <v>1097</v>
      </c>
      <c r="B814" s="14" t="s">
        <v>176</v>
      </c>
      <c r="C814" s="13"/>
      <c r="D814" s="15"/>
      <c r="E814" s="15"/>
      <c r="F814" s="16" t="s">
        <v>39</v>
      </c>
      <c r="G814" s="15" t="n">
        <v>1</v>
      </c>
      <c r="H814" s="13"/>
    </row>
    <row r="815" customFormat="false" ht="15" hidden="false" customHeight="false" outlineLevel="0" collapsed="false">
      <c r="A815" s="10" t="s">
        <v>1098</v>
      </c>
      <c r="B815" s="10" t="s">
        <v>176</v>
      </c>
      <c r="C815" s="10" t="s">
        <v>57</v>
      </c>
      <c r="D815" s="11"/>
      <c r="E815" s="11"/>
      <c r="F815" s="12" t="s">
        <v>35</v>
      </c>
      <c r="G815" s="11" t="n">
        <v>5</v>
      </c>
      <c r="H815" s="9"/>
    </row>
    <row r="816" customFormat="false" ht="15" hidden="false" customHeight="false" outlineLevel="0" collapsed="false">
      <c r="A816" s="10" t="s">
        <v>1099</v>
      </c>
      <c r="B816" s="10" t="s">
        <v>176</v>
      </c>
      <c r="C816" s="10" t="s">
        <v>57</v>
      </c>
      <c r="D816" s="11"/>
      <c r="E816" s="11"/>
      <c r="F816" s="12" t="s">
        <v>35</v>
      </c>
      <c r="G816" s="11" t="n">
        <v>10</v>
      </c>
      <c r="H816" s="9"/>
    </row>
    <row r="817" customFormat="false" ht="15" hidden="false" customHeight="false" outlineLevel="0" collapsed="false">
      <c r="A817" s="10" t="s">
        <v>1100</v>
      </c>
      <c r="B817" s="10" t="s">
        <v>176</v>
      </c>
      <c r="C817" s="10" t="s">
        <v>57</v>
      </c>
      <c r="D817" s="11"/>
      <c r="E817" s="11"/>
      <c r="F817" s="12" t="s">
        <v>35</v>
      </c>
      <c r="G817" s="11" t="n">
        <v>7</v>
      </c>
      <c r="H817" s="9"/>
    </row>
    <row r="818" customFormat="false" ht="15" hidden="false" customHeight="false" outlineLevel="0" collapsed="false">
      <c r="A818" s="14" t="s">
        <v>1101</v>
      </c>
      <c r="B818" s="14" t="s">
        <v>176</v>
      </c>
      <c r="C818" s="13"/>
      <c r="D818" s="15"/>
      <c r="E818" s="15"/>
      <c r="F818" s="16" t="s">
        <v>39</v>
      </c>
      <c r="G818" s="15" t="n">
        <v>30</v>
      </c>
      <c r="H818" s="13"/>
    </row>
    <row r="819" customFormat="false" ht="15" hidden="false" customHeight="false" outlineLevel="0" collapsed="false">
      <c r="A819" s="10" t="s">
        <v>1102</v>
      </c>
      <c r="B819" s="10" t="s">
        <v>176</v>
      </c>
      <c r="C819" s="10" t="s">
        <v>57</v>
      </c>
      <c r="D819" s="11"/>
      <c r="E819" s="11"/>
      <c r="F819" s="12" t="s">
        <v>35</v>
      </c>
      <c r="G819" s="11" t="n">
        <v>30</v>
      </c>
      <c r="H819" s="9"/>
    </row>
    <row r="820" customFormat="false" ht="15" hidden="false" customHeight="false" outlineLevel="0" collapsed="false">
      <c r="A820" s="14" t="s">
        <v>1103</v>
      </c>
      <c r="B820" s="14" t="s">
        <v>176</v>
      </c>
      <c r="C820" s="13"/>
      <c r="D820" s="15"/>
      <c r="E820" s="15"/>
      <c r="F820" s="16" t="s">
        <v>39</v>
      </c>
      <c r="G820" s="15" t="n">
        <v>14</v>
      </c>
      <c r="H820" s="13"/>
    </row>
    <row r="821" customFormat="false" ht="15" hidden="false" customHeight="false" outlineLevel="0" collapsed="false">
      <c r="A821" s="14" t="s">
        <v>1104</v>
      </c>
      <c r="B821" s="14" t="s">
        <v>176</v>
      </c>
      <c r="C821" s="13"/>
      <c r="D821" s="15"/>
      <c r="E821" s="15"/>
      <c r="F821" s="16" t="s">
        <v>39</v>
      </c>
      <c r="G821" s="15" t="n">
        <v>14</v>
      </c>
      <c r="H821" s="13"/>
    </row>
    <row r="822" customFormat="false" ht="15" hidden="false" customHeight="false" outlineLevel="0" collapsed="false">
      <c r="A822" s="18" t="s">
        <v>1105</v>
      </c>
      <c r="B822" s="18" t="s">
        <v>176</v>
      </c>
      <c r="C822" s="17" t="s">
        <v>184</v>
      </c>
      <c r="D822" s="19" t="n">
        <v>15000</v>
      </c>
      <c r="E822" s="19" t="n">
        <v>40000</v>
      </c>
      <c r="F822" s="20" t="s">
        <v>47</v>
      </c>
      <c r="G822" s="20" t="n">
        <v>10</v>
      </c>
      <c r="H822" s="17"/>
    </row>
    <row r="823" customFormat="false" ht="15" hidden="false" customHeight="false" outlineLevel="0" collapsed="false">
      <c r="A823" s="10" t="s">
        <v>1106</v>
      </c>
      <c r="B823" s="10" t="s">
        <v>176</v>
      </c>
      <c r="C823" s="10" t="s">
        <v>57</v>
      </c>
      <c r="D823" s="11"/>
      <c r="E823" s="11"/>
      <c r="F823" s="12" t="s">
        <v>35</v>
      </c>
      <c r="G823" s="11" t="n">
        <v>7</v>
      </c>
      <c r="H823" s="9"/>
    </row>
    <row r="824" customFormat="false" ht="15" hidden="false" customHeight="false" outlineLevel="0" collapsed="false">
      <c r="A824" s="10" t="s">
        <v>1107</v>
      </c>
      <c r="B824" s="10" t="s">
        <v>176</v>
      </c>
      <c r="C824" s="10" t="s">
        <v>57</v>
      </c>
      <c r="D824" s="11"/>
      <c r="E824" s="11"/>
      <c r="F824" s="12" t="s">
        <v>35</v>
      </c>
      <c r="G824" s="11" t="n">
        <v>10</v>
      </c>
      <c r="H824" s="9"/>
    </row>
    <row r="825" customFormat="false" ht="15" hidden="false" customHeight="false" outlineLevel="0" collapsed="false">
      <c r="A825" s="10" t="s">
        <v>1108</v>
      </c>
      <c r="B825" s="10" t="s">
        <v>82</v>
      </c>
      <c r="C825" s="10" t="s">
        <v>57</v>
      </c>
      <c r="D825" s="11"/>
      <c r="E825" s="11"/>
      <c r="F825" s="12" t="s">
        <v>35</v>
      </c>
      <c r="G825" s="11" t="n">
        <v>7</v>
      </c>
      <c r="H825" s="9"/>
    </row>
    <row r="826" customFormat="false" ht="15" hidden="false" customHeight="false" outlineLevel="0" collapsed="false">
      <c r="A826" s="10" t="s">
        <v>1109</v>
      </c>
      <c r="B826" s="10" t="s">
        <v>82</v>
      </c>
      <c r="C826" s="10" t="s">
        <v>57</v>
      </c>
      <c r="D826" s="11"/>
      <c r="E826" s="11"/>
      <c r="F826" s="12" t="s">
        <v>35</v>
      </c>
      <c r="G826" s="11" t="n">
        <v>4</v>
      </c>
      <c r="H826" s="9"/>
    </row>
    <row r="827" customFormat="false" ht="15" hidden="false" customHeight="false" outlineLevel="0" collapsed="false">
      <c r="A827" s="14" t="s">
        <v>1110</v>
      </c>
      <c r="B827" s="14" t="s">
        <v>82</v>
      </c>
      <c r="C827" s="14" t="s">
        <v>371</v>
      </c>
      <c r="D827" s="15"/>
      <c r="E827" s="15"/>
      <c r="F827" s="16" t="s">
        <v>39</v>
      </c>
      <c r="G827" s="15" t="n">
        <v>5</v>
      </c>
      <c r="H827" s="13"/>
    </row>
    <row r="828" customFormat="false" ht="15" hidden="false" customHeight="false" outlineLevel="0" collapsed="false">
      <c r="A828" s="18" t="s">
        <v>1111</v>
      </c>
      <c r="B828" s="18" t="s">
        <v>82</v>
      </c>
      <c r="C828" s="17" t="s">
        <v>161</v>
      </c>
      <c r="D828" s="19" t="n">
        <v>5000</v>
      </c>
      <c r="E828" s="19" t="n">
        <v>5000</v>
      </c>
      <c r="F828" s="20" t="s">
        <v>47</v>
      </c>
      <c r="G828" s="20" t="n">
        <v>7</v>
      </c>
      <c r="H828" s="17"/>
    </row>
    <row r="829" customFormat="false" ht="15" hidden="false" customHeight="false" outlineLevel="0" collapsed="false">
      <c r="A829" s="18" t="s">
        <v>1112</v>
      </c>
      <c r="B829" s="18" t="s">
        <v>82</v>
      </c>
      <c r="C829" s="17" t="s">
        <v>375</v>
      </c>
      <c r="D829" s="19" t="n">
        <v>10000</v>
      </c>
      <c r="E829" s="19" t="n">
        <v>10000</v>
      </c>
      <c r="F829" s="20" t="s">
        <v>47</v>
      </c>
      <c r="G829" s="20" t="n">
        <v>10</v>
      </c>
      <c r="H829" s="17"/>
    </row>
    <row r="830" customFormat="false" ht="15" hidden="false" customHeight="false" outlineLevel="0" collapsed="false">
      <c r="A830" s="18" t="s">
        <v>1113</v>
      </c>
      <c r="B830" s="18" t="s">
        <v>82</v>
      </c>
      <c r="C830" s="17" t="s">
        <v>375</v>
      </c>
      <c r="D830" s="19" t="n">
        <v>10000</v>
      </c>
      <c r="E830" s="19" t="n">
        <v>10000</v>
      </c>
      <c r="F830" s="20" t="s">
        <v>47</v>
      </c>
      <c r="G830" s="20" t="n">
        <v>7</v>
      </c>
      <c r="H830" s="17"/>
    </row>
    <row r="831" customFormat="false" ht="15" hidden="false" customHeight="false" outlineLevel="0" collapsed="false">
      <c r="A831" s="10" t="s">
        <v>1114</v>
      </c>
      <c r="B831" s="10" t="s">
        <v>82</v>
      </c>
      <c r="C831" s="10" t="s">
        <v>57</v>
      </c>
      <c r="D831" s="11"/>
      <c r="E831" s="11"/>
      <c r="F831" s="12" t="s">
        <v>35</v>
      </c>
      <c r="G831" s="11" t="n">
        <v>4</v>
      </c>
      <c r="H831" s="9"/>
    </row>
    <row r="832" customFormat="false" ht="15" hidden="false" customHeight="false" outlineLevel="0" collapsed="false">
      <c r="A832" s="14" t="s">
        <v>1115</v>
      </c>
      <c r="B832" s="14" t="s">
        <v>82</v>
      </c>
      <c r="C832" s="14" t="s">
        <v>371</v>
      </c>
      <c r="D832" s="15"/>
      <c r="E832" s="15"/>
      <c r="F832" s="16" t="s">
        <v>39</v>
      </c>
      <c r="G832" s="15" t="n">
        <v>0</v>
      </c>
      <c r="H832" s="13"/>
    </row>
    <row r="833" customFormat="false" ht="29.85" hidden="false" customHeight="false" outlineLevel="0" collapsed="false">
      <c r="A833" s="14" t="s">
        <v>1116</v>
      </c>
      <c r="B833" s="14" t="s">
        <v>82</v>
      </c>
      <c r="C833" s="14" t="s">
        <v>371</v>
      </c>
      <c r="D833" s="15"/>
      <c r="E833" s="15"/>
      <c r="F833" s="16" t="s">
        <v>39</v>
      </c>
      <c r="G833" s="15" t="n">
        <v>0</v>
      </c>
      <c r="H833" s="13"/>
    </row>
    <row r="834" customFormat="false" ht="29.85" hidden="false" customHeight="false" outlineLevel="0" collapsed="false">
      <c r="A834" s="10" t="s">
        <v>1117</v>
      </c>
      <c r="B834" s="10" t="s">
        <v>219</v>
      </c>
      <c r="C834" s="10" t="s">
        <v>35</v>
      </c>
      <c r="D834" s="11"/>
      <c r="E834" s="11"/>
      <c r="F834" s="12" t="s">
        <v>35</v>
      </c>
      <c r="G834" s="11" t="n">
        <v>1</v>
      </c>
      <c r="H834" s="9"/>
    </row>
    <row r="835" customFormat="false" ht="15" hidden="false" customHeight="false" outlineLevel="0" collapsed="false">
      <c r="A835" s="10" t="s">
        <v>1118</v>
      </c>
      <c r="B835" s="10" t="s">
        <v>119</v>
      </c>
      <c r="C835" s="10" t="s">
        <v>443</v>
      </c>
      <c r="D835" s="11"/>
      <c r="E835" s="11"/>
      <c r="F835" s="12" t="s">
        <v>35</v>
      </c>
      <c r="G835" s="11" t="n">
        <v>0</v>
      </c>
      <c r="H835" s="9"/>
    </row>
    <row r="836" customFormat="false" ht="15" hidden="false" customHeight="false" outlineLevel="0" collapsed="false">
      <c r="A836" s="14" t="s">
        <v>1119</v>
      </c>
      <c r="B836" s="14" t="s">
        <v>224</v>
      </c>
      <c r="C836" s="13"/>
      <c r="D836" s="15"/>
      <c r="E836" s="15"/>
      <c r="F836" s="16" t="s">
        <v>39</v>
      </c>
      <c r="G836" s="15" t="n">
        <v>30</v>
      </c>
      <c r="H836" s="13"/>
    </row>
    <row r="837" customFormat="false" ht="15" hidden="false" customHeight="false" outlineLevel="0" collapsed="false">
      <c r="A837" s="18" t="s">
        <v>1120</v>
      </c>
      <c r="B837" s="18" t="s">
        <v>132</v>
      </c>
      <c r="C837" s="17" t="s">
        <v>161</v>
      </c>
      <c r="D837" s="19" t="n">
        <v>5000</v>
      </c>
      <c r="E837" s="19" t="n">
        <v>5000</v>
      </c>
      <c r="F837" s="20" t="s">
        <v>47</v>
      </c>
      <c r="G837" s="20" t="n">
        <v>3</v>
      </c>
      <c r="H837" s="17"/>
    </row>
    <row r="838" customFormat="false" ht="15" hidden="false" customHeight="false" outlineLevel="0" collapsed="false">
      <c r="A838" s="18" t="s">
        <v>1121</v>
      </c>
      <c r="B838" s="18" t="s">
        <v>119</v>
      </c>
      <c r="C838" s="17" t="s">
        <v>1122</v>
      </c>
      <c r="D838" s="19" t="n">
        <v>0</v>
      </c>
      <c r="E838" s="19" t="n">
        <v>0</v>
      </c>
      <c r="F838" s="20" t="s">
        <v>47</v>
      </c>
      <c r="G838" s="20" t="n">
        <v>0</v>
      </c>
      <c r="H838" s="17"/>
    </row>
    <row r="839" customFormat="false" ht="15" hidden="false" customHeight="false" outlineLevel="0" collapsed="false">
      <c r="A839" s="10" t="s">
        <v>1123</v>
      </c>
      <c r="B839" s="10" t="s">
        <v>241</v>
      </c>
      <c r="C839" s="10" t="s">
        <v>57</v>
      </c>
      <c r="D839" s="11"/>
      <c r="E839" s="11"/>
      <c r="F839" s="12" t="s">
        <v>35</v>
      </c>
      <c r="G839" s="11" t="n">
        <v>60</v>
      </c>
      <c r="H839" s="9"/>
    </row>
    <row r="840" customFormat="false" ht="15" hidden="false" customHeight="false" outlineLevel="0" collapsed="false">
      <c r="A840" s="14" t="s">
        <v>1124</v>
      </c>
      <c r="B840" s="14" t="s">
        <v>60</v>
      </c>
      <c r="C840" s="13"/>
      <c r="D840" s="15"/>
      <c r="E840" s="15"/>
      <c r="F840" s="16" t="s">
        <v>39</v>
      </c>
      <c r="G840" s="15" t="n">
        <v>10</v>
      </c>
      <c r="H840" s="13"/>
    </row>
    <row r="841" customFormat="false" ht="15" hidden="false" customHeight="false" outlineLevel="0" collapsed="false">
      <c r="A841" s="14" t="s">
        <v>1125</v>
      </c>
      <c r="B841" s="14" t="s">
        <v>60</v>
      </c>
      <c r="C841" s="13"/>
      <c r="D841" s="15"/>
      <c r="E841" s="15"/>
      <c r="F841" s="16" t="s">
        <v>39</v>
      </c>
      <c r="G841" s="15" t="n">
        <v>10</v>
      </c>
      <c r="H841" s="13"/>
    </row>
    <row r="842" customFormat="false" ht="15" hidden="false" customHeight="false" outlineLevel="0" collapsed="false">
      <c r="A842" s="10" t="s">
        <v>1126</v>
      </c>
      <c r="B842" s="10" t="s">
        <v>1127</v>
      </c>
      <c r="C842" s="10" t="s">
        <v>34</v>
      </c>
      <c r="D842" s="11"/>
      <c r="E842" s="11"/>
      <c r="F842" s="12" t="s">
        <v>35</v>
      </c>
      <c r="G842" s="11" t="n">
        <v>10</v>
      </c>
      <c r="H842" s="9"/>
    </row>
    <row r="843" customFormat="false" ht="15" hidden="false" customHeight="false" outlineLevel="0" collapsed="false">
      <c r="A843" s="18" t="s">
        <v>1128</v>
      </c>
      <c r="B843" s="18" t="s">
        <v>109</v>
      </c>
      <c r="C843" s="17" t="s">
        <v>673</v>
      </c>
      <c r="D843" s="19" t="n">
        <v>2000</v>
      </c>
      <c r="E843" s="19" t="n">
        <v>2000</v>
      </c>
      <c r="F843" s="20" t="s">
        <v>47</v>
      </c>
      <c r="G843" s="20" t="n">
        <v>0</v>
      </c>
      <c r="H843" s="17"/>
    </row>
    <row r="844" customFormat="false" ht="15" hidden="false" customHeight="false" outlineLevel="0" collapsed="false">
      <c r="A844" s="14" t="s">
        <v>1129</v>
      </c>
      <c r="B844" s="14" t="s">
        <v>302</v>
      </c>
      <c r="C844" s="13"/>
      <c r="D844" s="15"/>
      <c r="E844" s="15"/>
      <c r="F844" s="16" t="s">
        <v>39</v>
      </c>
      <c r="G844" s="15" t="n">
        <v>0</v>
      </c>
      <c r="H844" s="13"/>
    </row>
    <row r="845" customFormat="false" ht="15" hidden="false" customHeight="false" outlineLevel="0" collapsed="false">
      <c r="A845" s="10" t="s">
        <v>1130</v>
      </c>
      <c r="B845" s="10" t="s">
        <v>335</v>
      </c>
      <c r="C845" s="10" t="s">
        <v>57</v>
      </c>
      <c r="D845" s="11"/>
      <c r="E845" s="11"/>
      <c r="F845" s="12" t="s">
        <v>35</v>
      </c>
      <c r="G845" s="11" t="n">
        <v>20</v>
      </c>
      <c r="H845" s="9"/>
    </row>
    <row r="846" customFormat="false" ht="15" hidden="false" customHeight="false" outlineLevel="0" collapsed="false">
      <c r="A846" s="14" t="s">
        <v>1131</v>
      </c>
      <c r="B846" s="14" t="s">
        <v>335</v>
      </c>
      <c r="C846" s="13"/>
      <c r="D846" s="15"/>
      <c r="E846" s="15"/>
      <c r="F846" s="16" t="s">
        <v>39</v>
      </c>
      <c r="G846" s="15" t="n">
        <v>20</v>
      </c>
      <c r="H846" s="13"/>
    </row>
    <row r="847" customFormat="false" ht="15" hidden="false" customHeight="false" outlineLevel="0" collapsed="false">
      <c r="A847" s="18" t="s">
        <v>1132</v>
      </c>
      <c r="B847" s="18" t="s">
        <v>109</v>
      </c>
      <c r="C847" s="17" t="s">
        <v>111</v>
      </c>
      <c r="D847" s="19" t="n">
        <v>3000</v>
      </c>
      <c r="E847" s="19" t="n">
        <v>3000</v>
      </c>
      <c r="F847" s="20" t="s">
        <v>47</v>
      </c>
      <c r="G847" s="20" t="n">
        <v>5</v>
      </c>
      <c r="H847" s="17"/>
    </row>
    <row r="848" customFormat="false" ht="15" hidden="false" customHeight="false" outlineLevel="0" collapsed="false">
      <c r="A848" s="18" t="s">
        <v>1133</v>
      </c>
      <c r="B848" s="18" t="s">
        <v>109</v>
      </c>
      <c r="C848" s="17" t="s">
        <v>111</v>
      </c>
      <c r="D848" s="19" t="n">
        <v>3000</v>
      </c>
      <c r="E848" s="19" t="n">
        <v>3000</v>
      </c>
      <c r="F848" s="20" t="s">
        <v>47</v>
      </c>
      <c r="G848" s="20" t="n">
        <v>5</v>
      </c>
      <c r="H848" s="17"/>
    </row>
    <row r="849" customFormat="false" ht="15" hidden="false" customHeight="false" outlineLevel="0" collapsed="false">
      <c r="A849" s="18" t="s">
        <v>1134</v>
      </c>
      <c r="B849" s="18" t="s">
        <v>109</v>
      </c>
      <c r="C849" s="17" t="s">
        <v>445</v>
      </c>
      <c r="D849" s="19" t="n">
        <v>2000</v>
      </c>
      <c r="E849" s="19" t="n">
        <v>2000</v>
      </c>
      <c r="F849" s="20" t="s">
        <v>47</v>
      </c>
      <c r="G849" s="20" t="n">
        <v>3</v>
      </c>
      <c r="H849" s="17"/>
    </row>
    <row r="850" customFormat="false" ht="29.85" hidden="false" customHeight="false" outlineLevel="0" collapsed="false">
      <c r="A850" s="18" t="s">
        <v>1135</v>
      </c>
      <c r="B850" s="18" t="s">
        <v>109</v>
      </c>
      <c r="C850" s="17" t="s">
        <v>1136</v>
      </c>
      <c r="D850" s="19" t="n">
        <v>2000</v>
      </c>
      <c r="E850" s="19" t="n">
        <v>5000</v>
      </c>
      <c r="F850" s="20" t="s">
        <v>47</v>
      </c>
      <c r="G850" s="20" t="n">
        <v>20</v>
      </c>
      <c r="H850" s="17"/>
    </row>
    <row r="851" customFormat="false" ht="29.85" hidden="false" customHeight="false" outlineLevel="0" collapsed="false">
      <c r="A851" s="18" t="s">
        <v>1137</v>
      </c>
      <c r="B851" s="18" t="s">
        <v>109</v>
      </c>
      <c r="C851" s="18" t="s">
        <v>1138</v>
      </c>
      <c r="D851" s="19" t="n">
        <v>2000</v>
      </c>
      <c r="E851" s="19" t="n">
        <v>5000</v>
      </c>
      <c r="F851" s="20" t="s">
        <v>47</v>
      </c>
      <c r="G851" s="20" t="n">
        <v>20</v>
      </c>
      <c r="H851" s="17"/>
    </row>
    <row r="852" customFormat="false" ht="15" hidden="false" customHeight="false" outlineLevel="0" collapsed="false">
      <c r="A852" s="14" t="s">
        <v>1139</v>
      </c>
      <c r="B852" s="14" t="s">
        <v>109</v>
      </c>
      <c r="C852" s="13"/>
      <c r="D852" s="15"/>
      <c r="E852" s="15"/>
      <c r="F852" s="16" t="s">
        <v>39</v>
      </c>
      <c r="G852" s="15" t="n">
        <v>20</v>
      </c>
      <c r="H852" s="13"/>
    </row>
    <row r="853" customFormat="false" ht="15" hidden="false" customHeight="false" outlineLevel="0" collapsed="false">
      <c r="A853" s="18" t="s">
        <v>1140</v>
      </c>
      <c r="B853" s="18" t="s">
        <v>109</v>
      </c>
      <c r="C853" s="18" t="s">
        <v>1141</v>
      </c>
      <c r="D853" s="19" t="n">
        <v>2000</v>
      </c>
      <c r="E853" s="19" t="n">
        <v>14000</v>
      </c>
      <c r="F853" s="20" t="s">
        <v>47</v>
      </c>
      <c r="G853" s="20" t="n">
        <v>20</v>
      </c>
      <c r="H853" s="17"/>
    </row>
    <row r="854" customFormat="false" ht="15" hidden="false" customHeight="false" outlineLevel="0" collapsed="false">
      <c r="A854" s="14" t="s">
        <v>1142</v>
      </c>
      <c r="B854" s="14" t="s">
        <v>109</v>
      </c>
      <c r="C854" s="13"/>
      <c r="D854" s="15"/>
      <c r="E854" s="15"/>
      <c r="F854" s="16" t="s">
        <v>39</v>
      </c>
      <c r="G854" s="15" t="n">
        <v>5</v>
      </c>
      <c r="H854" s="13"/>
    </row>
    <row r="855" customFormat="false" ht="15" hidden="false" customHeight="false" outlineLevel="0" collapsed="false">
      <c r="A855" s="14" t="s">
        <v>1143</v>
      </c>
      <c r="B855" s="13"/>
      <c r="C855" s="13"/>
      <c r="D855" s="15"/>
      <c r="E855" s="15"/>
      <c r="F855" s="16" t="s">
        <v>39</v>
      </c>
      <c r="G855" s="15" t="n">
        <v>10</v>
      </c>
      <c r="H855" s="13"/>
    </row>
    <row r="856" customFormat="false" ht="15" hidden="false" customHeight="false" outlineLevel="0" collapsed="false">
      <c r="A856" s="10" t="s">
        <v>1144</v>
      </c>
      <c r="B856" s="10" t="s">
        <v>51</v>
      </c>
      <c r="C856" s="10" t="s">
        <v>57</v>
      </c>
      <c r="D856" s="11"/>
      <c r="E856" s="11"/>
      <c r="F856" s="12" t="s">
        <v>35</v>
      </c>
      <c r="G856" s="11" t="n">
        <v>5</v>
      </c>
      <c r="H856" s="9"/>
    </row>
    <row r="857" customFormat="false" ht="15" hidden="false" customHeight="false" outlineLevel="0" collapsed="false">
      <c r="A857" s="14" t="s">
        <v>1145</v>
      </c>
      <c r="B857" s="14" t="s">
        <v>51</v>
      </c>
      <c r="C857" s="13"/>
      <c r="D857" s="15"/>
      <c r="E857" s="15"/>
      <c r="F857" s="16" t="s">
        <v>39</v>
      </c>
      <c r="G857" s="15" t="n">
        <v>7</v>
      </c>
      <c r="H857" s="13"/>
    </row>
    <row r="858" customFormat="false" ht="15" hidden="false" customHeight="false" outlineLevel="0" collapsed="false">
      <c r="A858" s="14" t="s">
        <v>1146</v>
      </c>
      <c r="B858" s="13"/>
      <c r="C858" s="13"/>
      <c r="D858" s="15"/>
      <c r="E858" s="15"/>
      <c r="F858" s="16" t="s">
        <v>39</v>
      </c>
      <c r="G858" s="15" t="n">
        <v>1</v>
      </c>
      <c r="H858" s="13"/>
    </row>
    <row r="860" customFormat="false" ht="15" hidden="false" customHeight="false" outlineLevel="0" collapsed="false">
      <c r="A860" s="25" t="s">
        <v>1147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45"/>
  </cols>
  <sheetData>
    <row r="1" customFormat="false" ht="21" hidden="false" customHeight="true" outlineLevel="0" collapsed="false">
      <c r="A1" s="2" t="s">
        <v>1148</v>
      </c>
    </row>
    <row r="2" customFormat="false" ht="15" hidden="false" customHeight="true" outlineLevel="0" collapsed="false">
      <c r="A2" s="26" t="s">
        <v>1149</v>
      </c>
    </row>
    <row r="4" customFormat="false" ht="16.5" hidden="false" customHeight="true" outlineLevel="0" collapsed="false">
      <c r="A4" s="27" t="s">
        <v>1150</v>
      </c>
    </row>
    <row r="5" customFormat="false" ht="15" hidden="false" customHeight="true" outlineLevel="0" collapsed="false">
      <c r="A5" s="28" t="s">
        <v>1151</v>
      </c>
      <c r="B5" s="28" t="s">
        <v>1152</v>
      </c>
    </row>
    <row r="6" customFormat="false" ht="15" hidden="false" customHeight="true" outlineLevel="0" collapsed="false">
      <c r="A6" s="29" t="s">
        <v>1153</v>
      </c>
      <c r="B6" s="30" t="s">
        <v>1154</v>
      </c>
    </row>
    <row r="7" customFormat="false" ht="15" hidden="false" customHeight="true" outlineLevel="0" collapsed="false">
      <c r="A7" s="29" t="s">
        <v>1155</v>
      </c>
      <c r="B7" s="30" t="s">
        <v>1156</v>
      </c>
    </row>
    <row r="8" customFormat="false" ht="15" hidden="false" customHeight="true" outlineLevel="0" collapsed="false">
      <c r="A8" s="29" t="s">
        <v>1157</v>
      </c>
      <c r="B8" s="30" t="s">
        <v>1158</v>
      </c>
    </row>
    <row r="9" customFormat="false" ht="15" hidden="false" customHeight="true" outlineLevel="0" collapsed="false">
      <c r="A9" s="29" t="s">
        <v>1159</v>
      </c>
      <c r="B9" s="30" t="s">
        <v>1160</v>
      </c>
    </row>
    <row r="10" customFormat="false" ht="15" hidden="false" customHeight="true" outlineLevel="0" collapsed="false">
      <c r="A10" s="31" t="s">
        <v>1161</v>
      </c>
    </row>
    <row r="12" customFormat="false" ht="16.5" hidden="false" customHeight="true" outlineLevel="0" collapsed="false">
      <c r="A12" s="27" t="s">
        <v>1162</v>
      </c>
    </row>
    <row r="13" customFormat="false" ht="15" hidden="false" customHeight="true" outlineLevel="0" collapsed="false">
      <c r="A13" s="32" t="s">
        <v>1163</v>
      </c>
      <c r="B13" s="33" t="n">
        <v>10000000</v>
      </c>
    </row>
    <row r="14" customFormat="false" ht="15" hidden="false" customHeight="true" outlineLevel="0" collapsed="false">
      <c r="A14" s="32" t="s">
        <v>1164</v>
      </c>
      <c r="B14" s="34" t="n">
        <v>1</v>
      </c>
    </row>
    <row r="15" customFormat="false" ht="15" hidden="false" customHeight="true" outlineLevel="0" collapsed="false">
      <c r="A15" s="32" t="s">
        <v>1165</v>
      </c>
      <c r="B15" s="34" t="n">
        <v>2</v>
      </c>
    </row>
    <row r="16" customFormat="false" ht="15" hidden="false" customHeight="true" outlineLevel="0" collapsed="false">
      <c r="A16" s="32" t="s">
        <v>1166</v>
      </c>
      <c r="B16" s="34" t="n">
        <v>15</v>
      </c>
    </row>
    <row r="18" customFormat="false" ht="16.5" hidden="false" customHeight="true" outlineLevel="0" collapsed="false">
      <c r="A18" s="27" t="s">
        <v>1167</v>
      </c>
      <c r="B18" s="35" t="n">
        <f aca="false">ROUNDDOWN(IF(B13&lt;10000000,B13*0.005,IF(B13&lt;100000000,B13*0.0045+5000,IF(B13&lt;1000000000,B13*0.004+55000,B13*0.0035+555000))),-2)</f>
        <v>50000</v>
      </c>
    </row>
    <row r="19" customFormat="false" ht="16.5" hidden="false" customHeight="true" outlineLevel="0" collapsed="false">
      <c r="A19" s="27" t="s">
        <v>1168</v>
      </c>
      <c r="B19" s="35" t="n">
        <f aca="false">ROUNDDOWN(IF(B14=1,B18*0.9,B18),-2)</f>
        <v>45000</v>
      </c>
    </row>
    <row r="20" customFormat="false" ht="15" hidden="false" customHeight="true" outlineLevel="0" collapsed="false">
      <c r="A20" s="32" t="s">
        <v>1169</v>
      </c>
      <c r="B20" s="36" t="n">
        <f aca="false">ROUNDDOWN(B18*0.1,-2)</f>
        <v>5000</v>
      </c>
    </row>
    <row r="22" customFormat="false" ht="15" hidden="false" customHeight="true" outlineLevel="0" collapsed="false">
      <c r="A22" s="32" t="s">
        <v>1170</v>
      </c>
      <c r="B22" s="36" t="n">
        <v>5500</v>
      </c>
    </row>
    <row r="23" customFormat="false" ht="15" hidden="false" customHeight="true" outlineLevel="0" collapsed="false">
      <c r="A23" s="27" t="s">
        <v>1171</v>
      </c>
      <c r="B23" s="35" t="n">
        <f aca="false">B22*B16*B15</f>
        <v>165000</v>
      </c>
    </row>
    <row r="25" customFormat="false" ht="18.75" hidden="false" customHeight="true" outlineLevel="0" collapsed="false">
      <c r="A25" s="37" t="s">
        <v>1172</v>
      </c>
      <c r="B25" s="38" t="n">
        <f aca="false">B19+B23</f>
        <v>210000</v>
      </c>
    </row>
    <row r="27" customFormat="false" ht="15" hidden="false" customHeight="true" outlineLevel="0" collapsed="false">
      <c r="A27" s="26" t="s">
        <v>1173</v>
      </c>
    </row>
    <row r="28" customFormat="false" ht="15" hidden="false" customHeight="true" outlineLevel="0" collapsed="false">
      <c r="A28" s="26" t="s">
        <v>1174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45"/>
  </cols>
  <sheetData>
    <row r="1" customFormat="false" ht="21" hidden="false" customHeight="true" outlineLevel="0" collapsed="false">
      <c r="A1" s="2" t="s">
        <v>1175</v>
      </c>
    </row>
    <row r="2" customFormat="false" ht="15" hidden="false" customHeight="true" outlineLevel="0" collapsed="false">
      <c r="A2" s="26" t="s">
        <v>1176</v>
      </c>
    </row>
    <row r="3" customFormat="false" ht="15" hidden="false" customHeight="true" outlineLevel="0" collapsed="false">
      <c r="A3" s="39" t="s">
        <v>1177</v>
      </c>
    </row>
    <row r="5" customFormat="false" ht="16.5" hidden="false" customHeight="true" outlineLevel="0" collapsed="false">
      <c r="A5" s="27" t="s">
        <v>1178</v>
      </c>
    </row>
    <row r="6" customFormat="false" ht="15" hidden="false" customHeight="true" outlineLevel="0" collapsed="false">
      <c r="A6" s="40" t="s">
        <v>1179</v>
      </c>
      <c r="B6" s="40" t="s">
        <v>1180</v>
      </c>
      <c r="C6" s="40" t="s">
        <v>1181</v>
      </c>
    </row>
    <row r="7" customFormat="false" ht="29.25" hidden="false" customHeight="true" outlineLevel="0" collapsed="false">
      <c r="A7" s="41" t="s">
        <v>1182</v>
      </c>
      <c r="B7" s="29" t="s">
        <v>1183</v>
      </c>
      <c r="C7" s="30" t="s">
        <v>1184</v>
      </c>
    </row>
    <row r="8" customFormat="false" ht="15" hidden="false" customHeight="true" outlineLevel="0" collapsed="false">
      <c r="A8" s="13"/>
      <c r="B8" s="29" t="s">
        <v>1185</v>
      </c>
      <c r="C8" s="29" t="s">
        <v>339</v>
      </c>
    </row>
    <row r="9" customFormat="false" ht="15" hidden="false" customHeight="true" outlineLevel="0" collapsed="false">
      <c r="A9" s="13"/>
      <c r="B9" s="29" t="s">
        <v>1186</v>
      </c>
      <c r="C9" s="29" t="s">
        <v>1187</v>
      </c>
    </row>
    <row r="10" customFormat="false" ht="15" hidden="false" customHeight="true" outlineLevel="0" collapsed="false">
      <c r="A10" s="13"/>
      <c r="B10" s="29" t="s">
        <v>1188</v>
      </c>
      <c r="C10" s="29" t="s">
        <v>1189</v>
      </c>
    </row>
    <row r="11" customFormat="false" ht="15" hidden="false" customHeight="true" outlineLevel="0" collapsed="false">
      <c r="A11" s="13"/>
      <c r="B11" s="29" t="s">
        <v>1190</v>
      </c>
      <c r="C11" s="29" t="s">
        <v>1191</v>
      </c>
    </row>
    <row r="12" customFormat="false" ht="15" hidden="false" customHeight="true" outlineLevel="0" collapsed="false">
      <c r="A12" s="13"/>
      <c r="B12" s="29" t="s">
        <v>1192</v>
      </c>
      <c r="C12" s="29" t="s">
        <v>1193</v>
      </c>
    </row>
    <row r="13" customFormat="false" ht="15" hidden="false" customHeight="true" outlineLevel="0" collapsed="false">
      <c r="A13" s="41" t="s">
        <v>1194</v>
      </c>
      <c r="B13" s="30" t="s">
        <v>1195</v>
      </c>
      <c r="C13" s="29" t="s">
        <v>1196</v>
      </c>
    </row>
    <row r="14" customFormat="false" ht="15" hidden="false" customHeight="true" outlineLevel="0" collapsed="false">
      <c r="A14" s="41" t="s">
        <v>1197</v>
      </c>
      <c r="B14" s="30" t="s">
        <v>1198</v>
      </c>
      <c r="C14" s="29" t="s">
        <v>1199</v>
      </c>
    </row>
    <row r="16" customFormat="false" ht="16.5" hidden="false" customHeight="true" outlineLevel="0" collapsed="false">
      <c r="A16" s="27" t="s">
        <v>1200</v>
      </c>
    </row>
    <row r="17" customFormat="false" ht="29.25" hidden="false" customHeight="true" outlineLevel="0" collapsed="false">
      <c r="A17" s="42" t="s">
        <v>1201</v>
      </c>
    </row>
    <row r="18" customFormat="false" ht="29.25" hidden="false" customHeight="true" outlineLevel="0" collapsed="false">
      <c r="A18" s="42" t="s">
        <v>1202</v>
      </c>
    </row>
    <row r="19" customFormat="false" ht="29.25" hidden="false" customHeight="true" outlineLevel="0" collapsed="false">
      <c r="A19" s="42" t="s">
        <v>1203</v>
      </c>
    </row>
    <row r="20" customFormat="false" ht="29.25" hidden="false" customHeight="true" outlineLevel="0" collapsed="false">
      <c r="A20" s="42" t="s">
        <v>1204</v>
      </c>
    </row>
    <row r="21" customFormat="false" ht="29.25" hidden="false" customHeight="true" outlineLevel="0" collapsed="false">
      <c r="A21" s="42" t="s">
        <v>1205</v>
      </c>
    </row>
    <row r="23" customFormat="false" ht="15" hidden="false" customHeight="true" outlineLevel="0" collapsed="false">
      <c r="A23" s="26" t="s">
        <v>1206</v>
      </c>
    </row>
    <row r="25" customFormat="false" ht="16.5" hidden="false" customHeight="true" outlineLevel="0" collapsed="false">
      <c r="A25" s="27" t="s">
        <v>1162</v>
      </c>
    </row>
    <row r="26" customFormat="false" ht="15" hidden="false" customHeight="true" outlineLevel="0" collapsed="false">
      <c r="A26" s="32" t="s">
        <v>1179</v>
      </c>
      <c r="B26" s="43" t="s">
        <v>1207</v>
      </c>
      <c r="C26" s="31" t="s">
        <v>1208</v>
      </c>
    </row>
    <row r="27" customFormat="false" ht="15" hidden="false" customHeight="true" outlineLevel="0" collapsed="false">
      <c r="A27" s="32" t="s">
        <v>1209</v>
      </c>
      <c r="B27" s="33" t="n">
        <v>80000000</v>
      </c>
    </row>
    <row r="29" customFormat="false" ht="15" hidden="false" customHeight="true" outlineLevel="0" collapsed="false">
      <c r="A29" s="27" t="s">
        <v>1210</v>
      </c>
      <c r="B29" s="35" t="n">
        <f aca="false">IF(B26="동산",3000,IF(B27&lt;=10000000,0,IF(B27&lt;=30000000,20000,IF(B27&lt;=50000000,40000,IF(B27&lt;=100000000,70000,IF(B27&lt;=1000000000,150000,350000))))))</f>
        <v>70000</v>
      </c>
    </row>
    <row r="31" customFormat="false" ht="15" hidden="false" customHeight="true" outlineLevel="0" collapsed="false">
      <c r="A31" s="26" t="s">
        <v>1211</v>
      </c>
    </row>
    <row r="32" customFormat="false" ht="15" hidden="false" customHeight="true" outlineLevel="0" collapsed="false">
      <c r="A32" s="26" t="s">
        <v>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2026-08-15T03:22:51Z</dcterms:created>
  <dc:creator>openpyxl</dc:creator>
  <dc:description/>
  <dc:language>en-US</dc:language>
  <cp:lastModifiedBy/>
  <dcterms:modified xsi:type="dcterms:W3CDTF">2026-08-15T03:34:54Z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